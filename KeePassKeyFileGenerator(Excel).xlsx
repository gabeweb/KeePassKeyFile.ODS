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abeweb\Documentos\Personal\Security\"/>
    </mc:Choice>
  </mc:AlternateContent>
  <xr:revisionPtr revIDLastSave="0" documentId="13_ncr:1_{FD3CF9AE-7C76-4EB9-81BB-D590928547A7}" xr6:coauthVersionLast="47" xr6:coauthVersionMax="47" xr10:uidLastSave="{00000000-0000-0000-0000-000000000000}"/>
  <bookViews>
    <workbookView xWindow="-120" yWindow="-120" windowWidth="20730" windowHeight="11160" xr2:uid="{6877E4AE-4832-4833-9901-BCE28557DB92}"/>
  </bookViews>
  <sheets>
    <sheet name="KeePass_KeyFile" sheetId="2" r:id="rId1"/>
    <sheet name="About" sheetId="4" r:id="rId2"/>
  </sheets>
  <definedNames>
    <definedName name="LETRAS_HEX">KeePass_KeyFile!$T$6:$T$11</definedName>
    <definedName name="NUMEROS_HEX">KeePass_KeyFile!$R$6:$R$15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  <c r="B8" i="4"/>
  <c r="B7" i="4"/>
  <c r="R6" i="2"/>
  <c r="T6" i="2"/>
  <c r="R7" i="2"/>
  <c r="T7" i="2"/>
  <c r="R8" i="2"/>
  <c r="T8" i="2"/>
  <c r="R9" i="2"/>
  <c r="T9" i="2"/>
  <c r="R10" i="2"/>
  <c r="T10" i="2"/>
  <c r="R11" i="2"/>
  <c r="T11" i="2"/>
  <c r="R12" i="2"/>
  <c r="R13" i="2"/>
  <c r="R14" i="2"/>
  <c r="R15" i="2"/>
  <c r="H6" i="2" l="1" a="1"/>
  <c r="H6" i="2" l="1"/>
  <c r="G6" i="2" a="1"/>
  <c r="G6" i="2" s="1"/>
  <c r="G7" i="2" s="1" a="1"/>
  <c r="G7" i="2" s="1"/>
  <c r="D5" i="2" l="1" a="1"/>
  <c r="D5" i="2" s="1"/>
  <c r="H11" i="2"/>
  <c r="H13" i="2" s="1"/>
  <c r="H10" i="2" a="1"/>
  <c r="H10" i="2" s="1"/>
  <c r="G8" i="2" a="1"/>
  <c r="G8" i="2" s="1"/>
  <c r="G9" i="2" a="1"/>
  <c r="G9" i="2" s="1"/>
  <c r="H12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<sst xmlns="http://schemas.openxmlformats.org/spreadsheetml/2006/main" count="44" uniqueCount="41">
  <si>
    <t>This XML structure is generated according to the official specifications to create key files for KeePass:</t>
  </si>
  <si>
    <t>Copy and Paste the XML content in a new .keyx file</t>
  </si>
  <si>
    <r>
      <rPr>
        <b/>
        <sz val="12"/>
        <color rgb="FFF8F8F8"/>
        <rFont val="Aptos Narrow"/>
        <family val="2"/>
        <scheme val="minor"/>
      </rPr>
      <t>Warning:</t>
    </r>
    <r>
      <rPr>
        <sz val="12"/>
        <color rgb="FFF8F8F8"/>
        <rFont val="Aptos Narrow"/>
        <family val="2"/>
        <scheme val="minor"/>
      </rPr>
      <t xml:space="preserve"> This sheet use volatile formulas, so if the spreadsheet recalculates you cannot retrieve the previous hash and data key generated.</t>
    </r>
  </si>
  <si>
    <t>BINARY BITS</t>
  </si>
  <si>
    <t>THEORETICAL ENTROPY</t>
  </si>
  <si>
    <t>LENGTH</t>
  </si>
  <si>
    <t>DATA KEY</t>
  </si>
  <si>
    <t>LETTERS</t>
  </si>
  <si>
    <t>NUMBERS</t>
  </si>
  <si>
    <t>STRING 8</t>
  </si>
  <si>
    <t>STRING 7</t>
  </si>
  <si>
    <t>STRING 6</t>
  </si>
  <si>
    <t>STRING 5</t>
  </si>
  <si>
    <t>STRING 4</t>
  </si>
  <si>
    <t>STRING 3</t>
  </si>
  <si>
    <t>STRING 2</t>
  </si>
  <si>
    <t>STRING 1</t>
  </si>
  <si>
    <t>HASH</t>
  </si>
  <si>
    <t>HEXADECIMAL BASIS</t>
  </si>
  <si>
    <t>KEEPASS HASH AND DATA KEY GENERATOR</t>
  </si>
  <si>
    <t>GENERATED .keyx FILE</t>
  </si>
  <si>
    <t>Generate key files for KeePass in a simple and fast way.</t>
  </si>
  <si>
    <t>KeePass Simple Key File Generator</t>
  </si>
  <si>
    <t>Some rights reserved</t>
  </si>
  <si>
    <t>gabeweb.github.io</t>
  </si>
  <si>
    <t>@gabeweb</t>
  </si>
  <si>
    <t>Gabe Pérez</t>
  </si>
  <si>
    <t>Made by</t>
  </si>
  <si>
    <t>As a registered user, you have the right to copy and modify or adapt this book only for personal use, while for other purposes you must first express it to its author.</t>
  </si>
  <si>
    <t>You can also request a "pre-personalized" copy of crypFarm with predefined patterns and formulas according to your needs.</t>
  </si>
  <si>
    <t>Thank you for give a try to KeePass KeyFile Generator</t>
  </si>
  <si>
    <t>2) Copy XML</t>
  </si>
  <si>
    <t>3) Save File</t>
  </si>
  <si>
    <t>4) Use in KeePass</t>
  </si>
  <si>
    <t>1) Press F9 Key</t>
  </si>
  <si>
    <r>
      <t xml:space="preserve">Just press the </t>
    </r>
    <r>
      <rPr>
        <b/>
        <sz val="12"/>
        <color rgb="FFF8F8F8"/>
        <rFont val="Aptos Narrow"/>
        <family val="2"/>
        <scheme val="minor"/>
      </rPr>
      <t>F9</t>
    </r>
    <r>
      <rPr>
        <sz val="12"/>
        <color rgb="FFF8F8F8"/>
        <rFont val="Aptos Narrow"/>
        <family val="2"/>
        <scheme val="minor"/>
      </rPr>
      <t xml:space="preserve"> key to generate a new Data Key and its respective Hash.</t>
    </r>
  </si>
  <si>
    <r>
      <t xml:space="preserve">Select and copy the generated XML text in </t>
    </r>
    <r>
      <rPr>
        <b/>
        <sz val="12"/>
        <color rgb="FFF8F8F8"/>
        <rFont val="Aptos Narrow"/>
        <family val="2"/>
        <scheme val="minor"/>
      </rPr>
      <t>Column D</t>
    </r>
    <r>
      <rPr>
        <sz val="12"/>
        <color rgb="FFF8F8F8"/>
        <rFont val="Aptos Narrow"/>
        <family val="2"/>
        <scheme val="minor"/>
      </rPr>
      <t>.</t>
    </r>
  </si>
  <si>
    <r>
      <t xml:space="preserve">Paste into your favorite text editor and save as </t>
    </r>
    <r>
      <rPr>
        <b/>
        <sz val="12"/>
        <color rgb="FFF8F8F8"/>
        <rFont val="Aptos Narrow"/>
        <family val="2"/>
        <scheme val="minor"/>
      </rPr>
      <t>MyKey.keyx</t>
    </r>
    <r>
      <rPr>
        <sz val="12"/>
        <color rgb="FFF8F8F8"/>
        <rFont val="Aptos Narrow"/>
        <family val="2"/>
        <scheme val="minor"/>
      </rPr>
      <t xml:space="preserve"> (UTF-8 encoding).</t>
    </r>
  </si>
  <si>
    <r>
      <t xml:space="preserve">Load your </t>
    </r>
    <r>
      <rPr>
        <b/>
        <sz val="12"/>
        <color rgb="FFF8F8F8"/>
        <rFont val="Aptos Narrow"/>
        <family val="2"/>
        <scheme val="minor"/>
      </rPr>
      <t>.keyx file</t>
    </r>
    <r>
      <rPr>
        <sz val="12"/>
        <color rgb="FFF8F8F8"/>
        <rFont val="Aptos Narrow"/>
        <family val="2"/>
        <scheme val="minor"/>
      </rPr>
      <t xml:space="preserve"> when creating or unlocking your database.</t>
    </r>
  </si>
  <si>
    <r>
      <rPr>
        <b/>
        <sz val="12"/>
        <color rgb="FFFF453A"/>
        <rFont val="Aptos Narrow"/>
        <family val="2"/>
        <scheme val="minor"/>
      </rPr>
      <t>📌</t>
    </r>
    <r>
      <rPr>
        <b/>
        <sz val="12"/>
        <color rgb="FFF8F8F8"/>
        <rFont val="Aptos Narrow"/>
        <family val="2"/>
        <scheme val="minor"/>
      </rPr>
      <t xml:space="preserve"> How to Generate a KeePass KeyFile (.keyx)</t>
    </r>
  </si>
  <si>
    <r>
      <t>This workbook (</t>
    </r>
    <r>
      <rPr>
        <b/>
        <sz val="11"/>
        <color rgb="FFF8F8F8"/>
        <rFont val="Aptos Narrow"/>
        <family val="2"/>
        <scheme val="minor"/>
      </rPr>
      <t>KeePass KeyFile Generator</t>
    </r>
    <r>
      <rPr>
        <sz val="11"/>
        <color rgb="FFF8F8F8"/>
        <rFont val="Aptos Narrow"/>
        <family val="2"/>
        <scheme val="minor"/>
      </rPr>
      <t>) is for personal use only and its copying, either in whole or in part, for resale without prior notification to its author is totally prohibited.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</si>
</sst>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F8F8F8"/>
      <name val="Aptos Narrow"/>
      <family val="2"/>
      <scheme val="minor"/>
    </font>
    <font>
      <b/>
      <sz val="11"/>
      <color rgb="FFF8F8F8"/>
      <name val="Aptos Narrow"/>
      <family val="2"/>
      <scheme val="minor"/>
    </font>
    <font>
      <sz val="12"/>
      <color rgb="FFF8F8F8"/>
      <name val="Aptos Narrow"/>
      <family val="2"/>
      <scheme val="minor"/>
    </font>
    <font>
      <sz val="12"/>
      <color rgb="FF8B9498"/>
      <name val="Consolas"/>
      <family val="3"/>
    </font>
    <font>
      <sz val="12"/>
      <color rgb="FF0A84FF"/>
      <name val="Consolas"/>
      <family val="3"/>
    </font>
    <font>
      <sz val="12"/>
      <color rgb="FF595959"/>
      <name val="Aptos Narrow"/>
      <family val="2"/>
      <scheme val="minor"/>
    </font>
    <font>
      <b/>
      <sz val="12"/>
      <color rgb="FFF8F8F8"/>
      <name val="Aptos Narrow"/>
      <family val="2"/>
      <scheme val="minor"/>
    </font>
    <font>
      <b/>
      <sz val="12"/>
      <color rgb="FF5AE764"/>
      <name val="Consolas"/>
      <family val="3"/>
    </font>
    <font>
      <sz val="12"/>
      <color rgb="FF32D74B"/>
      <name val="Consolas"/>
      <family val="3"/>
    </font>
    <font>
      <b/>
      <sz val="12"/>
      <color rgb="FF142E20"/>
      <name val="Consolas"/>
      <family val="3"/>
    </font>
    <font>
      <b/>
      <sz val="24"/>
      <color rgb="FF121212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24"/>
      <color rgb="FFF8F8F8"/>
      <name val="Aptos Display"/>
      <family val="2"/>
      <scheme val="major"/>
    </font>
    <font>
      <b/>
      <sz val="12"/>
      <color rgb="FFFF453A"/>
      <name val="Aptos Narrow"/>
      <family val="2"/>
      <scheme val="minor"/>
    </font>
    <font>
      <u/>
      <sz val="11"/>
      <color rgb="FFF8F8F8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5202F"/>
        <bgColor rgb="FF15202F"/>
      </patternFill>
    </fill>
    <fill>
      <patternFill patternType="solid">
        <fgColor rgb="FF0D1117"/>
        <bgColor rgb="FF0D1117"/>
      </patternFill>
    </fill>
    <fill>
      <patternFill patternType="solid">
        <fgColor rgb="FFFF453A"/>
        <bgColor indexed="64"/>
      </patternFill>
    </fill>
    <fill>
      <patternFill patternType="solid">
        <fgColor rgb="FF142E20"/>
        <bgColor rgb="FF142E20"/>
      </patternFill>
    </fill>
    <fill>
      <patternFill patternType="solid">
        <fgColor rgb="FF262626"/>
        <bgColor rgb="FF262626"/>
      </patternFill>
    </fill>
    <fill>
      <patternFill patternType="solid">
        <fgColor rgb="FF5AE764"/>
        <bgColor rgb="FF5AE764"/>
      </patternFill>
    </fill>
    <fill>
      <patternFill patternType="solid">
        <fgColor rgb="FF404040"/>
        <bgColor rgb="FF404040"/>
      </patternFill>
    </fill>
    <fill>
      <patternFill patternType="solid">
        <fgColor rgb="FF708FEA"/>
        <bgColor rgb="FF708FEA"/>
      </patternFill>
    </fill>
    <fill>
      <patternFill patternType="solid">
        <fgColor rgb="FF141414"/>
        <bgColor indexed="64"/>
      </patternFill>
    </fill>
    <fill>
      <patternFill patternType="solid">
        <fgColor rgb="FF404040"/>
        <bgColor rgb="FF121212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121212"/>
      </patternFill>
    </fill>
    <fill>
      <patternFill patternType="solid">
        <fgColor theme="1"/>
        <bgColor rgb="FF708FEA"/>
      </patternFill>
    </fill>
  </fills>
  <borders count="17">
    <border>
      <left/>
      <right/>
      <top/>
      <bottom/>
      <diagonal/>
    </border>
    <border>
      <left style="thin">
        <color rgb="FF8B9498"/>
      </left>
      <right style="thin">
        <color rgb="FF8B9498"/>
      </right>
      <top/>
      <bottom style="thin">
        <color rgb="FF8B9498"/>
      </bottom>
      <diagonal/>
    </border>
    <border>
      <left style="thin">
        <color rgb="FF8B9498"/>
      </left>
      <right style="thin">
        <color rgb="FF8B9498"/>
      </right>
      <top style="thin">
        <color rgb="FF8B9498"/>
      </top>
      <bottom/>
      <diagonal/>
    </border>
    <border>
      <left style="thin">
        <color rgb="FF8B9498"/>
      </left>
      <right style="thin">
        <color rgb="FF8B9498"/>
      </right>
      <top style="thin">
        <color rgb="FF8B9498"/>
      </top>
      <bottom style="thin">
        <color rgb="FF8B9498"/>
      </bottom>
      <diagonal/>
    </border>
    <border>
      <left style="thin">
        <color rgb="FF3A3838"/>
      </left>
      <right style="thin">
        <color rgb="FF3A3838"/>
      </right>
      <top style="thin">
        <color rgb="FF3A3838"/>
      </top>
      <bottom style="thin">
        <color rgb="FF3A3838"/>
      </bottom>
      <diagonal/>
    </border>
    <border>
      <left style="thin">
        <color rgb="FF8B9498"/>
      </left>
      <right style="thin">
        <color rgb="FF8B9498"/>
      </right>
      <top/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3A3838"/>
      </right>
      <top style="thin">
        <color rgb="FF3A3838"/>
      </top>
      <bottom style="thin">
        <color rgb="FF3A3838"/>
      </bottom>
      <diagonal/>
    </border>
    <border>
      <left/>
      <right/>
      <top style="thin">
        <color rgb="FF3A3838"/>
      </top>
      <bottom style="thin">
        <color rgb="FF3A3838"/>
      </bottom>
      <diagonal/>
    </border>
    <border>
      <left style="thin">
        <color rgb="FF3A3838"/>
      </left>
      <right/>
      <top style="thin">
        <color rgb="FF3A3838"/>
      </top>
      <bottom style="thin">
        <color rgb="FF3A3838"/>
      </bottom>
      <diagonal/>
    </border>
    <border>
      <left/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404040"/>
      </left>
      <right/>
      <top style="thin">
        <color rgb="FF3A3838"/>
      </top>
      <bottom style="thin">
        <color rgb="FF3A3838"/>
      </bottom>
      <diagonal/>
    </border>
    <border>
      <left style="thin">
        <color rgb="FF3A3838"/>
      </left>
      <right style="thin">
        <color rgb="FF3A3838"/>
      </right>
      <top style="thin">
        <color rgb="FF3A3838"/>
      </top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3A3838"/>
      </bottom>
      <diagonal/>
    </border>
    <border>
      <left style="thin">
        <color rgb="FF404040"/>
      </left>
      <right/>
      <top style="thin">
        <color rgb="FF404040"/>
      </top>
      <bottom style="thin">
        <color rgb="FF404040"/>
      </bottom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15" fillId="0" borderId="0"/>
  </cellStyleXfs>
  <cellXfs count="47">
    <xf numFmtId="0" fontId="0" fillId="0" borderId="0" xfId="0"/>
    <xf numFmtId="0" fontId="5" fillId="2" borderId="3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vertical="center"/>
    </xf>
    <xf numFmtId="0" fontId="7" fillId="3" borderId="5" xfId="1" applyFont="1" applyFill="1" applyBorder="1" applyAlignment="1">
      <alignment horizontal="left" vertical="center" indent="1"/>
    </xf>
    <xf numFmtId="0" fontId="6" fillId="4" borderId="6" xfId="1" applyFont="1" applyFill="1" applyBorder="1" applyAlignment="1">
      <alignment horizontal="centerContinuous" vertical="center" wrapText="1"/>
    </xf>
    <xf numFmtId="0" fontId="7" fillId="3" borderId="5" xfId="1" applyFont="1" applyFill="1" applyBorder="1" applyAlignment="1">
      <alignment horizontal="left" vertical="center" indent="3"/>
    </xf>
    <xf numFmtId="0" fontId="11" fillId="5" borderId="7" xfId="1" applyFont="1" applyFill="1" applyBorder="1" applyAlignment="1">
      <alignment horizontal="centerContinuous" vertical="center" wrapText="1"/>
    </xf>
    <xf numFmtId="0" fontId="11" fillId="5" borderId="8" xfId="1" applyFont="1" applyFill="1" applyBorder="1" applyAlignment="1">
      <alignment horizontal="centerContinuous" vertical="center" wrapText="1"/>
    </xf>
    <xf numFmtId="0" fontId="11" fillId="5" borderId="9" xfId="1" applyFont="1" applyFill="1" applyBorder="1" applyAlignment="1">
      <alignment horizontal="centerContinuous" vertical="center" wrapText="1"/>
    </xf>
    <xf numFmtId="0" fontId="5" fillId="6" borderId="10" xfId="1" applyFont="1" applyFill="1" applyBorder="1" applyAlignment="1">
      <alignment horizontal="right" vertical="center" wrapText="1"/>
    </xf>
    <xf numFmtId="0" fontId="7" fillId="3" borderId="5" xfId="1" applyFont="1" applyFill="1" applyBorder="1" applyAlignment="1">
      <alignment horizontal="left" vertical="center" indent="4"/>
    </xf>
    <xf numFmtId="0" fontId="11" fillId="5" borderId="11" xfId="1" applyFont="1" applyFill="1" applyBorder="1" applyAlignment="1">
      <alignment horizontal="centerContinuous" vertical="center" wrapText="1"/>
    </xf>
    <xf numFmtId="2" fontId="11" fillId="5" borderId="4" xfId="1" applyNumberFormat="1" applyFont="1" applyFill="1" applyBorder="1" applyAlignment="1">
      <alignment horizontal="center" vertical="center" wrapText="1"/>
    </xf>
    <xf numFmtId="2" fontId="11" fillId="5" borderId="12" xfId="1" applyNumberFormat="1" applyFont="1" applyFill="1" applyBorder="1" applyAlignment="1">
      <alignment horizontal="center" vertical="center" wrapText="1"/>
    </xf>
    <xf numFmtId="0" fontId="5" fillId="6" borderId="13" xfId="1" applyFont="1" applyFill="1" applyBorder="1" applyAlignment="1">
      <alignment horizontal="right" vertical="center" wrapText="1"/>
    </xf>
    <xf numFmtId="0" fontId="5" fillId="6" borderId="14" xfId="1" applyFont="1" applyFill="1" applyBorder="1" applyAlignment="1">
      <alignment horizontal="right" vertical="center" wrapText="1"/>
    </xf>
    <xf numFmtId="0" fontId="11" fillId="5" borderId="4" xfId="1" applyFont="1" applyFill="1" applyBorder="1" applyAlignment="1">
      <alignment horizontal="center" vertical="center" wrapText="1"/>
    </xf>
    <xf numFmtId="0" fontId="13" fillId="7" borderId="4" xfId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vertical="center"/>
    </xf>
    <xf numFmtId="0" fontId="5" fillId="6" borderId="14" xfId="1" applyFont="1" applyFill="1" applyBorder="1" applyAlignment="1">
      <alignment horizontal="center" vertical="center" wrapText="1"/>
    </xf>
    <xf numFmtId="0" fontId="5" fillId="6" borderId="15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vertical="center"/>
    </xf>
    <xf numFmtId="0" fontId="10" fillId="2" borderId="3" xfId="1" applyFont="1" applyFill="1" applyBorder="1" applyAlignment="1">
      <alignment horizontal="center" vertical="center"/>
    </xf>
    <xf numFmtId="0" fontId="1" fillId="9" borderId="0" xfId="1" applyFont="1" applyFill="1"/>
    <xf numFmtId="0" fontId="1" fillId="4" borderId="6" xfId="1" applyFont="1" applyFill="1" applyBorder="1" applyAlignment="1">
      <alignment horizontal="centerContinuous"/>
    </xf>
    <xf numFmtId="0" fontId="1" fillId="6" borderId="14" xfId="1" applyFont="1" applyFill="1" applyBorder="1" applyAlignment="1">
      <alignment horizontal="center" vertical="center" wrapText="1"/>
    </xf>
    <xf numFmtId="0" fontId="14" fillId="9" borderId="0" xfId="1" applyFont="1" applyFill="1" applyAlignment="1">
      <alignment vertical="center"/>
    </xf>
    <xf numFmtId="0" fontId="4" fillId="10" borderId="0" xfId="3" applyFont="1" applyFill="1"/>
    <xf numFmtId="0" fontId="16" fillId="12" borderId="0" xfId="3" applyFont="1" applyFill="1"/>
    <xf numFmtId="0" fontId="4" fillId="12" borderId="0" xfId="3" applyFont="1" applyFill="1"/>
    <xf numFmtId="0" fontId="4" fillId="12" borderId="0" xfId="3" applyFont="1" applyFill="1" applyAlignment="1">
      <alignment vertical="center" wrapText="1" shrinkToFit="1"/>
    </xf>
    <xf numFmtId="0" fontId="4" fillId="12" borderId="0" xfId="3" applyFont="1" applyFill="1" applyAlignment="1">
      <alignment horizontal="center"/>
    </xf>
    <xf numFmtId="0" fontId="4" fillId="12" borderId="0" xfId="3" applyFont="1" applyFill="1" applyAlignment="1">
      <alignment vertical="center"/>
    </xf>
    <xf numFmtId="0" fontId="1" fillId="13" borderId="0" xfId="1" applyFont="1" applyFill="1"/>
    <xf numFmtId="0" fontId="4" fillId="13" borderId="2" xfId="1" applyFont="1" applyFill="1" applyBorder="1" applyAlignment="1">
      <alignment horizontal="center" vertical="center" wrapText="1"/>
    </xf>
    <xf numFmtId="0" fontId="1" fillId="12" borderId="0" xfId="1" applyFont="1" applyFill="1"/>
    <xf numFmtId="0" fontId="10" fillId="13" borderId="0" xfId="1" applyFont="1" applyFill="1" applyAlignment="1">
      <alignment horizontal="right" vertical="center"/>
    </xf>
    <xf numFmtId="0" fontId="6" fillId="13" borderId="0" xfId="1" applyFont="1" applyFill="1" applyAlignment="1">
      <alignment wrapText="1"/>
    </xf>
    <xf numFmtId="0" fontId="10" fillId="13" borderId="0" xfId="1" applyFont="1" applyFill="1" applyAlignment="1">
      <alignment vertical="top"/>
    </xf>
    <xf numFmtId="0" fontId="1" fillId="14" borderId="0" xfId="1" applyFont="1" applyFill="1"/>
    <xf numFmtId="0" fontId="9" fillId="13" borderId="4" xfId="1" applyFont="1" applyFill="1" applyBorder="1" applyAlignment="1">
      <alignment horizontal="center" vertical="center" wrapText="1"/>
    </xf>
    <xf numFmtId="0" fontId="8" fillId="13" borderId="4" xfId="1" applyFont="1" applyFill="1" applyBorder="1" applyAlignment="1">
      <alignment horizontal="center" vertical="center" wrapText="1"/>
    </xf>
    <xf numFmtId="0" fontId="12" fillId="13" borderId="4" xfId="1" applyFont="1" applyFill="1" applyBorder="1" applyAlignment="1">
      <alignment horizontal="center" vertical="center" wrapText="1"/>
    </xf>
    <xf numFmtId="0" fontId="10" fillId="8" borderId="14" xfId="1" applyFont="1" applyFill="1" applyBorder="1" applyAlignment="1">
      <alignment horizontal="center" vertical="center" wrapText="1"/>
    </xf>
    <xf numFmtId="0" fontId="10" fillId="8" borderId="16" xfId="1" applyFont="1" applyFill="1" applyBorder="1" applyAlignment="1">
      <alignment horizontal="center" vertical="center" wrapText="1"/>
    </xf>
    <xf numFmtId="0" fontId="10" fillId="11" borderId="0" xfId="1" applyFont="1" applyFill="1" applyAlignment="1">
      <alignment horizontal="center" vertical="center"/>
    </xf>
    <xf numFmtId="0" fontId="18" fillId="13" borderId="1" xfId="2" applyFont="1" applyFill="1" applyBorder="1" applyAlignment="1">
      <alignment horizontal="center" vertical="center" wrapText="1"/>
    </xf>
  </cellXfs>
  <cellStyles count="4">
    <cellStyle name="Hipervínculo" xfId="2" builtinId="8"/>
    <cellStyle name="Normal" xfId="0" builtinId="0"/>
    <cellStyle name="Normal 2" xfId="1" xr:uid="{E0705032-76DD-4EA2-A065-933117705EFB}"/>
    <cellStyle name="Normal 3" xfId="3" xr:uid="{A01084ED-5E8E-4B81-8FD1-C2799F05611F}"/>
  </cellStyles>
  <dxfs count="0"/>
  <tableStyles count="0" defaultTableStyle="TableStyleMedium2" defaultPivotStyle="PivotStyleLight16"/>
  <colors>
    <mruColors>
      <color rgb="FFF8F8F8"/>
      <color rgb="FFFF453A"/>
      <color rgb="FF404040"/>
      <color rgb="FF1414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562548</xdr:colOff>
      <xdr:row>3</xdr:row>
      <xdr:rowOff>65083</xdr:rowOff>
    </xdr:from>
    <xdr:to>
      <xdr:col>6</xdr:col>
      <xdr:colOff>238707</xdr:colOff>
      <xdr:row>3</xdr:row>
      <xdr:rowOff>676275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22DDD9-73B9-4C47-B757-1723C56AE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7087173" y="1779583"/>
          <a:ext cx="1200159" cy="6111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keepass.info/help/base/keys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4481-A090-402C-8041-CCAF92315AA3}">
  <sheetPr codeName="Hoja1"/>
  <dimension ref="A1:AC19"/>
  <sheetViews>
    <sheetView tabSelected="1" zoomScaleNormal="100" workbookViewId="0">
      <selection activeCell="B17" sqref="B17"/>
    </sheetView>
  </sheetViews>
  <sheetFormatPr baseColWidth="10" defaultRowHeight="30" customHeight="1" outlineLevelCol="1" x14ac:dyDescent="0.25"/>
  <cols>
    <col min="1" max="1" width="18.75" style="33" customWidth="1"/>
    <col min="2" max="2" width="31.25" style="33" customWidth="1"/>
    <col min="3" max="3" width="3.125" style="33" customWidth="1"/>
    <col min="4" max="4" width="66.125" style="33" customWidth="1"/>
    <col min="5" max="5" width="3.125" style="33" customWidth="1"/>
    <col min="6" max="15" width="13.25" style="33" customWidth="1" outlineLevel="1"/>
    <col min="16" max="16" width="6.25" style="33" customWidth="1"/>
    <col min="17" max="17" width="5.25" style="33" customWidth="1" outlineLevel="1"/>
    <col min="18" max="18" width="13.25" style="33" customWidth="1" outlineLevel="1"/>
    <col min="19" max="19" width="5.25" style="33" customWidth="1" outlineLevel="1"/>
    <col min="20" max="20" width="13.25" style="33" customWidth="1" outlineLevel="1"/>
    <col min="21" max="29" width="10.625" style="33" customWidth="1"/>
    <col min="30" max="16384" width="11" style="35"/>
  </cols>
  <sheetData>
    <row r="1" spans="1:21" s="39" customFormat="1" ht="30" customHeight="1" x14ac:dyDescent="0.25">
      <c r="A1" s="26" t="s">
        <v>22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ht="30" customHeight="1" x14ac:dyDescent="0.25">
      <c r="A2" s="38" t="s">
        <v>21</v>
      </c>
    </row>
    <row r="4" spans="1:21" ht="30" customHeight="1" x14ac:dyDescent="0.25">
      <c r="A4" s="45" t="s">
        <v>39</v>
      </c>
      <c r="B4" s="45"/>
      <c r="D4" s="22" t="s">
        <v>20</v>
      </c>
      <c r="F4" s="43" t="s">
        <v>19</v>
      </c>
      <c r="G4" s="43"/>
      <c r="H4" s="43"/>
      <c r="I4" s="43"/>
      <c r="J4" s="43"/>
      <c r="K4" s="43"/>
      <c r="L4" s="43"/>
      <c r="M4" s="43"/>
      <c r="N4" s="43"/>
      <c r="O4" s="43"/>
      <c r="Q4" s="44" t="s">
        <v>18</v>
      </c>
      <c r="R4" s="44"/>
      <c r="S4" s="44"/>
      <c r="T4" s="44"/>
    </row>
    <row r="5" spans="1:21" ht="30" customHeight="1" x14ac:dyDescent="0.25">
      <c r="A5" s="36" t="s">
        <v>34</v>
      </c>
      <c r="B5" s="37" t="s">
        <v>35</v>
      </c>
      <c r="D5" s="21" t="str" cm="1">
        <f t="array" aca="1" ref="D5:D16" ca="1">_xlfn.LET(
   _xlpm.q, """",
   _xlpm.Hash, G6,
   _xlpm.rango,_xlfn.ANCHORARRAY( H6),
   _xlpm.MyRow1, "        " &amp; _xlfn.TEXTJOIN(" ", 1, INDEX(_xlpm.rango, _xlfn.SEQUENCE(4,, 1))),
   _xlpm.MyRow2, "        " &amp; _xlfn.TEXTJOIN(" ", 1, INDEX(_xlpm.rango, _xlfn.SEQUENCE(4,, 5))),
   _xlfn.VSTACK(
      "&lt;?xml version=" &amp; _xlpm.q &amp; "1.0" &amp; _xlpm.q &amp; " encoding=" &amp; _xlpm.q &amp; "utf-8" &amp; _xlpm.q &amp; "?&gt;",
      "&lt;KeyFile&gt;",
      "    &lt;Meta&gt;",
      "        &lt;Version&gt;2.0&lt;/Version&gt;",
      "    &lt;/Meta&gt;",
      "    &lt;Key&gt;",
      "        &lt;Data Hash=" &amp; _xlpm.q &amp; _xlpm.Hash &amp; _xlpm.q &amp; "&gt;",
      _xlpm.MyRow1,
      _xlpm.MyRow2,
      "        &lt;/Data&gt;",
      "    &lt;/Key&gt;",
      "&lt;/KeyFile&gt;"
   )
)</f>
        <v>&lt;?xml version="1.0" encoding="utf-8"?&gt;</v>
      </c>
      <c r="G5" s="19" t="s">
        <v>17</v>
      </c>
      <c r="H5" s="20" t="s">
        <v>16</v>
      </c>
      <c r="I5" s="20" t="s">
        <v>15</v>
      </c>
      <c r="J5" s="20" t="s">
        <v>14</v>
      </c>
      <c r="K5" s="20" t="s">
        <v>13</v>
      </c>
      <c r="L5" s="20" t="s">
        <v>12</v>
      </c>
      <c r="M5" s="20" t="s">
        <v>11</v>
      </c>
      <c r="N5" s="20" t="s">
        <v>10</v>
      </c>
      <c r="O5" s="20" t="s">
        <v>9</v>
      </c>
      <c r="Q5" s="25"/>
      <c r="R5" s="19" t="s">
        <v>8</v>
      </c>
      <c r="S5" s="25"/>
      <c r="T5" s="19" t="s">
        <v>7</v>
      </c>
    </row>
    <row r="6" spans="1:21" ht="30" customHeight="1" x14ac:dyDescent="0.25">
      <c r="A6" s="36" t="s">
        <v>31</v>
      </c>
      <c r="B6" s="37" t="s">
        <v>36</v>
      </c>
      <c r="D6" s="18" t="str">
        <f ca="1"/>
        <v>&lt;KeyFile&gt;</v>
      </c>
      <c r="G6" s="17" t="str" cm="1">
        <f t="array" aca="1" ref="G6" ca="1">_xlfn.LET(
   _xlpm.inputText, _xlfn.TEXTJOIN("", 1,_xlfn.ANCHORARRAY( H6)),
   IF(ISBLANK(_xlpm.inputText), "#NoValue",
      _xlfn.LET(
         _xlpm.cleanTxt_, SUBSTITUTE(_xlpm.inputText, " ", ""),
         _xlpm.bytes_, HEX2DEC(MID(_xlpm.cleanTxt_, _xlfn.SEQUENCE(LEN(_xlpm.cleanTxt_)/2,, 1, 2), 2)),
         _xlpm.len_, ROWS(_xlpm.bytes_),
         _xlpm.bitLen_, _xlpm.len_ * 8,
         _xlpm.pad_, MOD(56 - MOD(_xlpm.len_ + 1, 64), 64),
         _xlpm.msg_, _xlfn.VSTACK(
            _xlpm.bytes_,
            _xlfn.EXPAND(128, _xlpm.pad_ + 1, 1, 0),
            QUOTIENT(_xlpm.bitLen_, 256^7),
            MOD(QUOTIENT(_xlpm.bitLen_, 256^6), 256),
            MOD(QUOTIENT(_xlpm.bitLen_, 256^5), 256),
            MOD(QUOTIENT(_xlpm.bitLen_, 256^4), 256),
            MOD(QUOTIENT(_xlpm.bitLen_, 256^3), 256),
            MOD(QUOTIENT(_xlpm.bitLen_, 256^2), 256),
            MOD(QUOTIENT(_xlpm.bitLen_, 256), 256),
            MOD(_xlpm.bitLen_, 256)
         ),
         _xlpm.blocks_, ROWS(_xlpm.msg_) / 64,
         _xlpm.konst_, {1116352408;1899447441;3049323471;3921009573;961987163;1508970993;2453635748;2870763221;3624381080;310598401;607225278;1426881987;1925078388;2162078206;2614888103;3248222580;3835390401;4022224774;264347078;604807628;770255983;1249150122;1555081692;1996064986;2554220882;2821834349;2952996808;3210313671;3336571891;3584528711;113926993;338241895;666307205;773529912;1294757372;1396182291;1695183700;1986661051;2177026350;2456956037;2730485921;2820302411;3259730800;3345764771;3516065817;3600352804;4094571909;275423344;430227734;506948616;659060556;883997877;958139571;1322822218;1537002063;1747873779;1955562222;2024104815;2227730452;2361852424;2428436474;2756734187;3204031479;3329325298},
         _xlpm.iv_, TRANSPOSE({1779033703;3144134277;1013904242;2773480762;1359893119;2600822924;528734635;1541459225}),
         _xlpm.mask_, 4294967295,
         _xlpm.mod32_, _xlfn.LAMBDA(_xlpm.x_, MOD(_xlpm.x_, 4294967296)),
         _xlpm.xor3_, _xlfn.LAMBDA(_xlpm.x_,_xlpm.y_,_xlpm.z_, _xlfn.BITXOR(_xlfn.BITXOR(_xlpm.x_, _xlpm.y_), _xlpm.z_)),
         _xlpm.rotr_, _xlfn.LAMBDA(_xlpm.x_,_xlpm.n_, _xlfn.BITOR(_xlfn.BITRSHIFT(_xlpm.x_, _xlpm.n_), _xlfn.BITLSHIFT(MOD(_xlpm.x_, 2^_xlpm.n_), 32 - _xlpm.n_))),
         _xlpm.shr_, _xlfn.LAMBDA(_xlpm.x_,_xlpm.n_, _xlfn.BITRSHIFT(_xlpm.x_, _xlpm.n_)),
         _xlpm.ch_, _xlfn.LAMBDA(_xlpm.x_,_xlpm.y_,_xlpm.z_, _xlfn.BITXOR(_xlfn.BITAND(_xlpm.x_, _xlpm.y_), _xlfn.BITAND(_xlfn.BITXOR(_xlpm.x_, _xlpm.mask_), _xlpm.z_))),
         _xlpm.maj_, _xlfn.LAMBDA(_xlpm.x_,_xlpm.y_,_xlpm.z_, _xlpm.xor3_(_xlfn.BITAND(_xlpm.x_, _xlpm.y_), _xlfn.BITAND(_xlpm.x_, _xlpm.z_), _xlfn.BITAND(_xlpm.y_, _xlpm.z_))),
         _xlpm.bs0_, _xlfn.LAMBDA(_xlpm.x_, _xlpm.xor3_(_xlpm.rotr_(_xlpm.x_, 2), _xlpm.rotr_(_xlpm.x_, 13), _xlpm.rotr_(_xlpm.x_, 22))),
         _xlpm.bs1_, _xlfn.LAMBDA(_xlpm.x_, _xlpm.xor3_(_xlpm.rotr_(_xlpm.x_, 6), _xlpm.rotr_(_xlpm.x_, 11), _xlpm.rotr_(_xlpm.x_, 25))),
         _xlpm.ss0_, _xlfn.LAMBDA(_xlpm.x_, _xlpm.xor3_(_xlpm.rotr_(_xlpm.x_, 7), _xlpm.rotr_(_xlpm.x_, 18), _xlpm.shr_(_xlpm.x_, 3))),
         _xlpm.ss1_, _xlfn.LAMBDA(_xlpm.x_, _xlpm.xor3_(_xlpm.rotr_(_xlpm.x_, 17), _xlpm.rotr_(_xlpm.x_, 19), _xlpm.shr_(_xlpm.x_, 10))),
         _xlpm.pgSystemTester_, _xlfn.LAMBDA(_xlpm.block_, _xlfn.MAP(_xlfn.SEQUENCE(16), _xlfn.LAMBDA(_xlpm.row_, SUM(INDEX(_xlpm.msg_, _xlpm.block_ * 64 + (_xlpm.row_ - 1) * 4 + _xlfn.SEQUENCE(4)) * 256^{3;2;1;0})))),
         _xlpm.hash_, _xlfn.REDUCE(_xlpm.iv_, _xlfn.SEQUENCE(_xlpm.blocks_,, 0), _xlfn.LAMBDA(_xlpm.hh_,_xlpm.block_,
            _xlfn.LET(
               _xlpm.w16_, _xlpm.pgSystemTester_(_xlpm.block_),
               _xlpm.ww_, _xlfn.REDUCE(_xlpm.w16_, _xlfn.SEQUENCE(48,, 17), _xlfn.LAMBDA(_xlpm.acc_,_xlpm.idx_, _xlfn.VSTACK(_xlpm.acc_, _xlpm.mod32_(_xlpm.ss1_(INDEX(_xlpm.acc_, _xlpm.idx_ - 2)) + INDEX(_xlpm.acc_, _xlpm.idx_ - 7) + _xlpm.ss0_(INDEX(_xlpm.acc_, _xlpm.idx_ - 15)) + INDEX(_xlpm.acc_, _xlpm.idx_ - 16))))),
               _xlpm.init_, TRANSPOSE(_xlpm.hh_),
               _xlpm.work_, _xlfn.REDUCE(_xlpm.init_, _xlfn.SEQUENCE(64), _xlfn.LAMBDA(_xlpm.st_,_xlpm.idx_,
                  _xlfn.LET(
                     _xlpm.a_, INDEX(_xlpm.st_, 1), _xlpm.b_, INDEX(_xlpm.st_, 2), _xlpm.c_, INDEX(_xlpm.st_, 3), _xlpm.d_, INDEX(_xlpm.st_, 4),
                     _xlpm.e_, INDEX(_xlpm.st_, 5), _xlpm.f_, INDEX(_xlpm.st_, 6), _xlpm.g_, INDEX(_xlpm.st_, 7), _xlpm.h_, INDEX(_xlpm.st_, 8),
                     _xlpm.temp1_, _xlpm.mod32_(_xlpm.h_ + _xlpm.bs1_(_xlpm.e_) + _xlpm.ch_(_xlpm.e_, _xlpm.f_, _xlpm.g_) + INDEX(_xlpm.konst_, _xlpm.idx_) + INDEX(_xlpm.ww_, _xlpm.idx_)),
                     _xlpm.temp2_, _xlpm.mod32_(_xlpm.bs0_(_xlpm.a_) + _xlpm.maj_(_xlpm.a_, _xlpm.b_, _xlpm.c_)),
                     _xlfn.VSTACK(_xlpm.mod32_(_xlpm.temp1_ + _xlpm.temp2_), _xlpm.a_, _xlpm.b_, _xlpm.c_, _xlpm.mod32_(_xlpm.d_ + _xlpm.temp1_), _xlpm.e_, _xlpm.f_, _xlpm.g_)
                  )
               )),
               TRANSPOSE(_xlpm.mod32_(TRANSPOSE(_xlpm.hh_) + _xlpm.work_))
            )
         )),
         _xlpm.fullHash, _xlfn.TEXTJOIN("",, DEC2HEX(_xlpm.hash_, 8)),
         UPPER(LEFT(_xlpm.fullHash, 8))
      )
   )
)</f>
        <v>71F539A3</v>
      </c>
      <c r="H6" s="16" t="str" cm="1">
        <f t="array" aca="1" ref="H6:O6" ca="1">_xlfn.LET(
    _xlpm.Pool, _xlfn.CONCAT(NUMEROS_HEX, LETRAS_HEX),
    _xlpm.Length, LEN(_xlpm.Pool),
    _xlfn.MAP(_xlfn.SEQUENCE(1, 8), _xlfn.LAMBDA(_xlpm.col,
        _xlfn.CONCAT(_xlfn.MAP(_xlfn.SEQUENCE(8), _xlfn.LAMBDA(_xlpm.lin, MID(_xlpm.Pool, RANDBETWEEN(1, _xlpm.Length), 1))))
    ))
)</f>
        <v>7DAA2CA0</v>
      </c>
      <c r="I6" s="16" t="str">
        <f ca="1"/>
        <v>6E6846D8</v>
      </c>
      <c r="J6" s="16" t="str">
        <f ca="1"/>
        <v>D74ECABE</v>
      </c>
      <c r="K6" s="16" t="str">
        <f ca="1"/>
        <v>65B227FC</v>
      </c>
      <c r="L6" s="16" t="str">
        <f ca="1"/>
        <v>76401883</v>
      </c>
      <c r="M6" s="16" t="str">
        <f ca="1"/>
        <v>4B328BD2</v>
      </c>
      <c r="N6" s="16" t="str">
        <f ca="1"/>
        <v>C64DA80E</v>
      </c>
      <c r="O6" s="16" t="str">
        <f ca="1"/>
        <v>DCC12245</v>
      </c>
      <c r="Q6" s="40">
        <v>48</v>
      </c>
      <c r="R6" s="41" t="str">
        <f t="shared" ref="R6:R15" si="0">IFERROR(
    SUBSTITUTE(
        CHAR(Q6),
        " ",
        ""
    ),
    ""
)</f>
        <v>0</v>
      </c>
      <c r="S6" s="40">
        <v>65</v>
      </c>
      <c r="T6" s="42" t="str">
        <f t="shared" ref="T6:T11" si="1">CHAR(S6)</f>
        <v>A</v>
      </c>
    </row>
    <row r="7" spans="1:21" ht="30" customHeight="1" x14ac:dyDescent="0.25">
      <c r="A7" s="36" t="s">
        <v>32</v>
      </c>
      <c r="B7" s="37" t="s">
        <v>37</v>
      </c>
      <c r="D7" s="3" t="str">
        <f ca="1"/>
        <v xml:space="preserve">    &lt;Meta&gt;</v>
      </c>
      <c r="F7" s="15" t="s">
        <v>5</v>
      </c>
      <c r="G7" s="16" cm="1">
        <f t="array" aca="1" ref="G7:O7" ca="1">LEN(G6:O6)</f>
        <v>8</v>
      </c>
      <c r="H7" s="16">
        <f ca="1"/>
        <v>8</v>
      </c>
      <c r="I7" s="16">
        <f ca="1"/>
        <v>8</v>
      </c>
      <c r="J7" s="16">
        <f ca="1"/>
        <v>8</v>
      </c>
      <c r="K7" s="16">
        <f ca="1"/>
        <v>8</v>
      </c>
      <c r="L7" s="16">
        <f ca="1"/>
        <v>8</v>
      </c>
      <c r="M7" s="16">
        <f ca="1"/>
        <v>8</v>
      </c>
      <c r="N7" s="16">
        <f ca="1"/>
        <v>8</v>
      </c>
      <c r="O7" s="16">
        <f ca="1"/>
        <v>8</v>
      </c>
      <c r="Q7" s="40">
        <v>49</v>
      </c>
      <c r="R7" s="41" t="str">
        <f t="shared" si="0"/>
        <v>1</v>
      </c>
      <c r="S7" s="40">
        <v>66</v>
      </c>
      <c r="T7" s="42" t="str">
        <f t="shared" si="1"/>
        <v>B</v>
      </c>
    </row>
    <row r="8" spans="1:21" ht="30" customHeight="1" x14ac:dyDescent="0.25">
      <c r="A8" s="36" t="s">
        <v>33</v>
      </c>
      <c r="B8" s="37" t="s">
        <v>38</v>
      </c>
      <c r="D8" s="5" t="str">
        <f ca="1"/>
        <v xml:space="preserve">        &lt;Version&gt;2.0&lt;/Version&gt;</v>
      </c>
      <c r="F8" s="15" t="s">
        <v>4</v>
      </c>
      <c r="G8" s="12" cm="1">
        <f t="array" aca="1" ref="G8:O8" ca="1">IFERROR(ROUND((G7:O7*LOG(LEN(_xlfn.CONCAT(NUMEROS_HEX,LETRAS_HEX)))),2),"")</f>
        <v>9.6300000000000008</v>
      </c>
      <c r="H8" s="12">
        <f ca="1"/>
        <v>9.6300000000000008</v>
      </c>
      <c r="I8" s="12">
        <f ca="1"/>
        <v>9.6300000000000008</v>
      </c>
      <c r="J8" s="12">
        <f ca="1"/>
        <v>9.6300000000000008</v>
      </c>
      <c r="K8" s="12">
        <f ca="1"/>
        <v>9.6300000000000008</v>
      </c>
      <c r="L8" s="12">
        <f ca="1"/>
        <v>9.6300000000000008</v>
      </c>
      <c r="M8" s="12">
        <f ca="1"/>
        <v>9.6300000000000008</v>
      </c>
      <c r="N8" s="12">
        <f ca="1"/>
        <v>9.6300000000000008</v>
      </c>
      <c r="O8" s="12">
        <f ca="1"/>
        <v>9.6300000000000008</v>
      </c>
      <c r="Q8" s="40">
        <v>50</v>
      </c>
      <c r="R8" s="41" t="str">
        <f t="shared" si="0"/>
        <v>2</v>
      </c>
      <c r="S8" s="40">
        <v>67</v>
      </c>
      <c r="T8" s="42" t="str">
        <f t="shared" si="1"/>
        <v>C</v>
      </c>
    </row>
    <row r="9" spans="1:21" ht="30" customHeight="1" x14ac:dyDescent="0.25">
      <c r="D9" s="3" t="str">
        <f ca="1"/>
        <v xml:space="preserve">    &lt;/Meta&gt;</v>
      </c>
      <c r="F9" s="14" t="s">
        <v>3</v>
      </c>
      <c r="G9" s="13" cm="1">
        <f t="array" aca="1" ref="G9:O9" ca="1">G7:O7*4.9231</f>
        <v>39.384799999999998</v>
      </c>
      <c r="H9" s="12">
        <f ca="1"/>
        <v>39.384799999999998</v>
      </c>
      <c r="I9" s="12">
        <f ca="1"/>
        <v>39.384799999999998</v>
      </c>
      <c r="J9" s="12">
        <f ca="1"/>
        <v>39.384799999999998</v>
      </c>
      <c r="K9" s="12">
        <f ca="1"/>
        <v>39.384799999999998</v>
      </c>
      <c r="L9" s="12">
        <f ca="1"/>
        <v>39.384799999999998</v>
      </c>
      <c r="M9" s="12">
        <f ca="1"/>
        <v>39.384799999999998</v>
      </c>
      <c r="N9" s="12">
        <f ca="1"/>
        <v>39.384799999999998</v>
      </c>
      <c r="O9" s="12">
        <f ca="1"/>
        <v>39.384799999999998</v>
      </c>
      <c r="Q9" s="40">
        <v>51</v>
      </c>
      <c r="R9" s="41" t="str">
        <f t="shared" si="0"/>
        <v>3</v>
      </c>
      <c r="S9" s="40">
        <v>68</v>
      </c>
      <c r="T9" s="42" t="str">
        <f t="shared" si="1"/>
        <v>D</v>
      </c>
    </row>
    <row r="10" spans="1:21" ht="30" customHeight="1" x14ac:dyDescent="0.25">
      <c r="D10" s="3" t="str">
        <f ca="1"/>
        <v xml:space="preserve">    &lt;Key&gt;</v>
      </c>
      <c r="G10" s="9" t="s">
        <v>6</v>
      </c>
      <c r="H10" s="11" t="str" cm="1">
        <f t="array" aca="1" ref="H10" ca="1">_xlfn.LET(
   _xlpm.rango,_xlfn.ANCHORARRAY( H6),
   _xlpm.MyRow1, _xlfn.TEXTJOIN(" ", 1, INDEX(_xlpm.rango, _xlfn.SEQUENCE(4,, 1))),
   _xlpm.MyRow2, _xlfn.TEXTJOIN(" ", 1, INDEX(_xlpm.rango, _xlfn.SEQUENCE(4,, 5))),
   _xlpm.MyRow1 &amp; CHAR(10) &amp; _xlpm.MyRow2
)</f>
        <v>7DAA2CA0 6E6846D8 D74ECABE 65B227FC
76401883 4B328BD2 C64DA80E DCC12245</v>
      </c>
      <c r="I10" s="7"/>
      <c r="J10" s="7"/>
      <c r="K10" s="7"/>
      <c r="L10" s="7"/>
      <c r="M10" s="7"/>
      <c r="N10" s="7"/>
      <c r="O10" s="6"/>
      <c r="Q10" s="40">
        <v>52</v>
      </c>
      <c r="R10" s="41" t="str">
        <f t="shared" si="0"/>
        <v>4</v>
      </c>
      <c r="S10" s="40">
        <v>69</v>
      </c>
      <c r="T10" s="42" t="str">
        <f t="shared" si="1"/>
        <v>E</v>
      </c>
    </row>
    <row r="11" spans="1:21" ht="30" customHeight="1" x14ac:dyDescent="0.25">
      <c r="D11" s="5" t="str">
        <f ca="1"/>
        <v xml:space="preserve">        &lt;Data Hash="71F539A3"&gt;</v>
      </c>
      <c r="G11" s="9" t="s">
        <v>5</v>
      </c>
      <c r="H11" s="8">
        <f ca="1">SUM(H7:O7)</f>
        <v>64</v>
      </c>
      <c r="I11" s="7"/>
      <c r="J11" s="7"/>
      <c r="K11" s="7"/>
      <c r="L11" s="7"/>
      <c r="M11" s="7"/>
      <c r="N11" s="7"/>
      <c r="O11" s="6"/>
      <c r="Q11" s="40">
        <v>53</v>
      </c>
      <c r="R11" s="41" t="str">
        <f t="shared" si="0"/>
        <v>5</v>
      </c>
      <c r="S11" s="40">
        <v>70</v>
      </c>
      <c r="T11" s="42" t="str">
        <f t="shared" si="1"/>
        <v>F</v>
      </c>
    </row>
    <row r="12" spans="1:21" ht="30" customHeight="1" x14ac:dyDescent="0.25">
      <c r="D12" s="10" t="str">
        <f ca="1"/>
        <v xml:space="preserve">        7DAA2CA0 6E6846D8 D74ECABE 65B227FC</v>
      </c>
      <c r="G12" s="9" t="s">
        <v>4</v>
      </c>
      <c r="H12" s="8">
        <f ca="1">IFERROR(
    ROUND(
        H11 * LOG(36, 2),
        2
    ),
    ""
)</f>
        <v>330.88</v>
      </c>
      <c r="I12" s="7"/>
      <c r="J12" s="7"/>
      <c r="K12" s="7"/>
      <c r="L12" s="7"/>
      <c r="M12" s="7"/>
      <c r="N12" s="7"/>
      <c r="O12" s="6"/>
      <c r="Q12" s="40">
        <v>54</v>
      </c>
      <c r="R12" s="41" t="str">
        <f t="shared" si="0"/>
        <v>6</v>
      </c>
    </row>
    <row r="13" spans="1:21" ht="30" customHeight="1" x14ac:dyDescent="0.25">
      <c r="D13" s="10" t="str">
        <f ca="1"/>
        <v xml:space="preserve">        76401883 4B328BD2 C64DA80E DCC12245</v>
      </c>
      <c r="G13" s="9" t="s">
        <v>3</v>
      </c>
      <c r="H13" s="8">
        <f ca="1">H11*4</f>
        <v>256</v>
      </c>
      <c r="I13" s="7"/>
      <c r="J13" s="7"/>
      <c r="K13" s="7"/>
      <c r="L13" s="7"/>
      <c r="M13" s="7"/>
      <c r="N13" s="7"/>
      <c r="O13" s="6"/>
      <c r="Q13" s="40">
        <v>55</v>
      </c>
      <c r="R13" s="41" t="str">
        <f t="shared" si="0"/>
        <v>7</v>
      </c>
    </row>
    <row r="14" spans="1:21" ht="30" customHeight="1" x14ac:dyDescent="0.25">
      <c r="D14" s="5" t="str">
        <f ca="1"/>
        <v xml:space="preserve">        &lt;/Data&gt;</v>
      </c>
      <c r="G14" s="4" t="s">
        <v>2</v>
      </c>
      <c r="H14" s="24"/>
      <c r="I14" s="24"/>
      <c r="J14" s="24"/>
      <c r="K14" s="24"/>
      <c r="L14" s="24"/>
      <c r="M14" s="24"/>
      <c r="N14" s="24"/>
      <c r="O14" s="24"/>
      <c r="Q14" s="40">
        <v>56</v>
      </c>
      <c r="R14" s="41" t="str">
        <f t="shared" si="0"/>
        <v>8</v>
      </c>
    </row>
    <row r="15" spans="1:21" ht="30" customHeight="1" x14ac:dyDescent="0.25">
      <c r="D15" s="3" t="str">
        <f ca="1"/>
        <v xml:space="preserve">    &lt;/Key&gt;</v>
      </c>
      <c r="Q15" s="40">
        <v>57</v>
      </c>
      <c r="R15" s="41" t="str">
        <f t="shared" si="0"/>
        <v>9</v>
      </c>
    </row>
    <row r="16" spans="1:21" ht="30" customHeight="1" x14ac:dyDescent="0.25">
      <c r="D16" s="2" t="str">
        <f ca="1"/>
        <v>&lt;/KeyFile&gt;</v>
      </c>
    </row>
    <row r="17" spans="4:4" ht="30" customHeight="1" x14ac:dyDescent="0.25">
      <c r="D17" s="1" t="s">
        <v>1</v>
      </c>
    </row>
    <row r="18" spans="4:4" ht="30" customHeight="1" x14ac:dyDescent="0.25">
      <c r="D18" s="34" t="s">
        <v>0</v>
      </c>
    </row>
    <row r="19" spans="4:4" ht="30" customHeight="1" x14ac:dyDescent="0.25">
      <c r="D19" s="46" t="str">
        <f>HYPERLINK("https://keepass.info/help/base/keys.html#keyfiles:~:text=XML%20%28recommended%2C%20default%29%2E","https://keepass.info/help/base/keys.html")</f>
        <v>https://keepass.info/help/base/keys.html</v>
      </c>
    </row>
  </sheetData>
  <mergeCells count="3">
    <mergeCell ref="F4:O4"/>
    <mergeCell ref="Q4:T4"/>
    <mergeCell ref="A4:B4"/>
  </mergeCells>
  <hyperlinks>
    <hyperlink ref="D19" r:id="rId1" location="keyfiles:~:text=XML%20%28recommended%2C%20default%29%2E" display="https://keepass.info/help/base/keys.html#keyfiles:~:text=XML%20%28recommended%2C%20default%29%2E" xr:uid="{D31E3E2C-0408-4F44-A98B-341A34739836}"/>
  </hyperlinks>
  <pageMargins left="0" right="0" top="0.39370078740157505" bottom="0.39370078740157505" header="0" footer="0"/>
  <pageSetup orientation="portrait" r:id="rId2"/>
  <headerFooter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B41A7-700D-4541-90D2-F37E6DCAF739}">
  <sheetPr codeName="Hoja2">
    <tabColor rgb="FF002060"/>
    <pageSetUpPr autoPageBreaks="0"/>
  </sheetPr>
  <dimension ref="A2:Q8"/>
  <sheetViews>
    <sheetView workbookViewId="0">
      <selection activeCell="J4" sqref="J4"/>
    </sheetView>
  </sheetViews>
  <sheetFormatPr baseColWidth="10" defaultColWidth="10" defaultRowHeight="30" customHeight="1" x14ac:dyDescent="0.25"/>
  <cols>
    <col min="1" max="1" width="10" style="27" customWidth="1"/>
    <col min="2" max="2" width="53.125" style="29" customWidth="1"/>
    <col min="3" max="3" width="12.5" style="29" customWidth="1"/>
    <col min="4" max="6" width="10" style="29" customWidth="1"/>
    <col min="7" max="7" width="6.375" style="29" customWidth="1"/>
    <col min="8" max="11" width="10" style="29" customWidth="1"/>
    <col min="12" max="17" width="10" style="27" customWidth="1"/>
    <col min="18" max="16384" width="10" style="29"/>
  </cols>
  <sheetData>
    <row r="2" spans="2:11" s="29" customFormat="1" ht="30" customHeight="1" x14ac:dyDescent="0.5">
      <c r="B2" s="28" t="s">
        <v>30</v>
      </c>
    </row>
    <row r="3" spans="2:11" s="29" customFormat="1" ht="75" customHeight="1" x14ac:dyDescent="0.25">
      <c r="B3" s="30" t="s">
        <v>40</v>
      </c>
      <c r="F3" s="31" t="s">
        <v>27</v>
      </c>
    </row>
    <row r="4" spans="2:11" s="29" customFormat="1" ht="75" customHeight="1" x14ac:dyDescent="0.25">
      <c r="B4" s="30" t="s">
        <v>28</v>
      </c>
      <c r="H4" s="32" t="s">
        <v>26</v>
      </c>
      <c r="I4" s="32" t="s">
        <v>25</v>
      </c>
      <c r="J4" s="32" t="s">
        <v>24</v>
      </c>
      <c r="K4" s="32"/>
    </row>
    <row r="5" spans="2:11" s="29" customFormat="1" ht="75" customHeight="1" x14ac:dyDescent="0.25">
      <c r="B5" s="30" t="s">
        <v>29</v>
      </c>
    </row>
    <row r="6" spans="2:11" s="29" customFormat="1" ht="18.75" customHeight="1" x14ac:dyDescent="0.25">
      <c r="B6" s="31" t="s">
        <v>23</v>
      </c>
    </row>
    <row r="7" spans="2:11" s="29" customFormat="1" ht="18.75" customHeight="1" x14ac:dyDescent="0.25">
      <c r="B7" s="31" t="str">
        <f ca="1">(_xlfn.CONCAT("©2019 - "&amp;YEAR(TODAY())))</f>
        <v>©2019 - 2026</v>
      </c>
    </row>
    <row r="8" spans="2:11" s="29" customFormat="1" ht="18.75" customHeight="1" x14ac:dyDescent="0.25">
      <c r="B8" s="31" t="str">
        <f>_xlfn.CONCAT("GABE PÉREZ / GABEweb")</f>
        <v>GABE PÉREZ / GABEweb</v>
      </c>
    </row>
  </sheetData>
  <pageMargins left="0.7" right="0.7" top="0.75" bottom="0.75" header="0.3" footer="0.3"/>
  <pageSetup scale="3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KeePass_KeyFile</vt:lpstr>
      <vt:lpstr>About</vt:lpstr>
      <vt:lpstr>LETRAS_HEX</vt:lpstr>
      <vt:lpstr>NUMEROS_HEX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 Pérez</dc:creator>
  <dc:description>Version 0.3</dc:description>
  <cp:lastModifiedBy>Gabe Pérez</cp:lastModifiedBy>
  <dcterms:created xsi:type="dcterms:W3CDTF">2026-03-28T23:34:41Z</dcterms:created>
  <dcterms:modified xsi:type="dcterms:W3CDTF">2026-09-21T21:08:45Z</dcterms:modified>
</cp:coreProperties>
</file>