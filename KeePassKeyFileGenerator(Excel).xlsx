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beweb\Documents\Personal\Security\"/>
    </mc:Choice>
  </mc:AlternateContent>
  <xr:revisionPtr revIDLastSave="0" documentId="13_ncr:1_{43E7B83F-BF48-40B3-8C85-3DE783676CB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KeePass_KeyFile" sheetId="1" r:id="rId1"/>
    <sheet name="Credits" sheetId="2" r:id="rId2"/>
    <sheet name="e00eb4de3c8a421cba9b8f4cb8546ec" sheetId="3" state="veryHidden" r:id="rId3"/>
  </sheets>
  <definedNames>
    <definedName name="LETRAS_HEX">KeePass_KeyFile!$Q$6:$Q$11</definedName>
    <definedName name="NUMEROS_HEX">KeePass_KeyFile!$O$6:$O$15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 a="1"/>
  <c r="D6" i="1" s="1"/>
  <c r="D7" i="1" s="1" a="1"/>
  <c r="G13" i="2"/>
  <c r="O7" i="1"/>
  <c r="O8" i="1"/>
  <c r="O9" i="1"/>
  <c r="O10" i="1"/>
  <c r="O11" i="1"/>
  <c r="O12" i="1"/>
  <c r="O13" i="1"/>
  <c r="O14" i="1"/>
  <c r="O15" i="1"/>
  <c r="O6" i="1"/>
  <c r="A2" i="3"/>
  <c r="B2" i="3"/>
  <c r="C2" i="3"/>
  <c r="A1" i="3"/>
  <c r="B1" i="3" a="1"/>
  <c r="C1" i="3"/>
  <c r="D1" i="3"/>
  <c r="E1" i="3"/>
  <c r="Q11" i="1"/>
  <c r="Q10" i="1"/>
  <c r="Q9" i="1"/>
  <c r="Q8" i="1"/>
  <c r="Q7" i="1"/>
  <c r="Q6" i="1"/>
  <c r="D7" i="1" l="1"/>
  <c r="E10" i="1"/>
  <c r="B1" i="3"/>
  <c r="D9" i="1" l="1" a="1"/>
  <c r="D8" i="1" a="1"/>
  <c r="A5" i="1" a="1"/>
  <c r="E11" i="1"/>
  <c r="E12" i="1" s="1"/>
  <c r="D9" i="1" l="1"/>
  <c r="D8" i="1"/>
  <c r="A5" i="1"/>
  <c r="E1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<sst xmlns="http://schemas.openxmlformats.org/spreadsheetml/2006/main" count="37" uniqueCount="34">
  <si>
    <t>KeePass Simple Key File Generator</t>
  </si>
  <si>
    <t>Generate key files for KeePass in a simple and fast way.</t>
  </si>
  <si>
    <t>GENERATED .keyx FILE</t>
  </si>
  <si>
    <t>KEEPASS HASH AND DATA KEY GENERATOR</t>
  </si>
  <si>
    <t>HEXADECIMAL BASIS</t>
  </si>
  <si>
    <t>HASH</t>
  </si>
  <si>
    <t>NUMBERS</t>
  </si>
  <si>
    <t>LETTERS</t>
  </si>
  <si>
    <t>LENGTH</t>
  </si>
  <si>
    <t>BINARY BITS</t>
  </si>
  <si>
    <t>DATA KEY</t>
  </si>
  <si>
    <t>Copy and Paste the XML content in a new .keyx file</t>
  </si>
  <si>
    <t>As a registered user, you have the right to copy and modify or adapt this book only for personal use, while for other purposes you must first express it to its author.</t>
  </si>
  <si>
    <t>Made by</t>
  </si>
  <si>
    <t>Gabe Pérez</t>
  </si>
  <si>
    <t>@gabeweb</t>
  </si>
  <si>
    <t>Some rights reserved</t>
  </si>
  <si>
    <r>
      <t xml:space="preserve">Thank you for give a try to </t>
    </r>
    <r>
      <rPr>
        <b/>
        <sz val="12"/>
        <color rgb="FFFFFFFF"/>
        <rFont val="Calibri"/>
        <family val="2"/>
        <scheme val="minor"/>
      </rPr>
      <t>KeePass KeyFile Generator</t>
    </r>
    <r>
      <rPr>
        <sz val="12"/>
        <color rgb="FFFFFFFF"/>
        <rFont val="Calibri"/>
        <family val="2"/>
        <scheme val="minor"/>
      </rPr>
      <t>,</t>
    </r>
  </si>
  <si>
    <r>
      <t>This workbook (</t>
    </r>
    <r>
      <rPr>
        <b/>
        <sz val="12"/>
        <color rgb="FFFFFFFF"/>
        <rFont val="Calibri"/>
        <family val="2"/>
        <scheme val="minor"/>
      </rPr>
      <t>KeePass KeyFile Generator</t>
    </r>
    <r>
      <rPr>
        <sz val="12"/>
        <color rgb="FFFFFFFF"/>
        <rFont val="Calibri"/>
        <family val="2"/>
        <scheme val="minor"/>
      </rPr>
      <t>) is for personal use only and its copying, either in whole or in part, for resale without prior notification to its author is totally prohibited.</t>
    </r>
  </si>
  <si>
    <t>gabeweb.github.io</t>
  </si>
  <si>
    <t>STRING 1</t>
  </si>
  <si>
    <t>STRING 2</t>
  </si>
  <si>
    <t>STRING 3</t>
  </si>
  <si>
    <t>STRING 4</t>
  </si>
  <si>
    <t>STRING 5</t>
  </si>
  <si>
    <t>STRING 6</t>
  </si>
  <si>
    <t>STRING 7</t>
  </si>
  <si>
    <t>STRING 8</t>
  </si>
  <si>
    <t>https://keepass.info/help/base/keys.html#keyfiles:~:text=XML%20%28recommended%2C%20default%29%2E</t>
  </si>
  <si>
    <t>This XML structure is generated according to the official specifications to create key files for KeePass:</t>
  </si>
  <si>
    <r>
      <rPr>
        <b/>
        <sz val="12"/>
        <color rgb="FFF8F8F8"/>
        <rFont val="Calibri"/>
        <family val="2"/>
        <scheme val="minor"/>
      </rPr>
      <t>Warning:</t>
    </r>
    <r>
      <rPr>
        <sz val="12"/>
        <color rgb="FFF8F8F8"/>
        <rFont val="Calibri"/>
        <family val="2"/>
        <scheme val="minor"/>
      </rPr>
      <t xml:space="preserve"> This sheet use volatile formulas, so if the spreadsheet recalculates you cannot retrieve the previous hash and data key generated.</t>
    </r>
  </si>
  <si>
    <r>
      <t xml:space="preserve">You can also request a "pre-personalized" copy of </t>
    </r>
    <r>
      <rPr>
        <b/>
        <sz val="12"/>
        <color rgb="FFFFFFFF"/>
        <rFont val="Calibri"/>
        <family val="2"/>
        <scheme val="minor"/>
      </rPr>
      <t>crypFarm</t>
    </r>
    <r>
      <rPr>
        <sz val="12"/>
        <color rgb="FFFFFFFF"/>
        <rFont val="Calibri"/>
        <family val="2"/>
        <scheme val="minor"/>
      </rPr>
      <t xml:space="preserve"> with predefined patterns and formulas according to your needs.</t>
    </r>
  </si>
  <si>
    <t>GABE PÉREZ / GABEweb</t>
  </si>
  <si>
    <t>THEORETICAL ENTROPY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</si>
</sst>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 &quot;#,##0.00&quot; &quot;;&quot;-&quot;#,##0.00&quot; &quot;;&quot;-&quot;#&quot; &quot;;&quot; &quot;@&quot; &quot;"/>
  </numFmts>
  <fonts count="40" x14ac:knownFonts="1"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FFFFFF"/>
      <name val="Calibri"/>
      <family val="2"/>
    </font>
    <font>
      <sz val="10"/>
      <color rgb="FFCC0000"/>
      <name val="Calibri"/>
      <family val="2"/>
    </font>
    <font>
      <b/>
      <sz val="10"/>
      <color rgb="FFFFFFFF"/>
      <name val="Calibri"/>
      <family val="2"/>
    </font>
    <font>
      <u/>
      <sz val="11"/>
      <color rgb="FF0066CC"/>
      <name val="Calibri"/>
      <family val="2"/>
    </font>
    <font>
      <i/>
      <sz val="10"/>
      <color rgb="FF808080"/>
      <name val="Calibri"/>
      <family val="2"/>
    </font>
    <font>
      <sz val="10"/>
      <color rgb="FF006600"/>
      <name val="Calibri"/>
      <family val="2"/>
    </font>
    <font>
      <b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u/>
      <sz val="10"/>
      <color rgb="FF0000EE"/>
      <name val="Calibri"/>
      <family val="2"/>
    </font>
    <font>
      <sz val="10"/>
      <color rgb="FF996600"/>
      <name val="Calibri"/>
      <family val="2"/>
    </font>
    <font>
      <sz val="10"/>
      <color rgb="FF000000"/>
      <name val="Arial"/>
      <family val="2"/>
    </font>
    <font>
      <sz val="10"/>
      <color rgb="FF333333"/>
      <name val="Calibri"/>
      <family val="2"/>
    </font>
    <font>
      <b/>
      <i/>
      <u/>
      <sz val="10"/>
      <color rgb="FF000000"/>
      <name val="Calibri"/>
      <family val="2"/>
    </font>
    <font>
      <b/>
      <sz val="24"/>
      <color rgb="FF121212"/>
      <name val="Calibri"/>
      <family val="2"/>
      <scheme val="minor"/>
    </font>
    <font>
      <sz val="10"/>
      <color rgb="FF121212"/>
      <name val="Calibri"/>
      <family val="2"/>
      <scheme val="minor"/>
    </font>
    <font>
      <b/>
      <sz val="12"/>
      <color rgb="FFF8F8F8"/>
      <name val="Calibri"/>
      <family val="2"/>
      <scheme val="minor"/>
    </font>
    <font>
      <sz val="10"/>
      <color rgb="FFF8F8F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F8F8F8"/>
      <name val="Calibri"/>
      <family val="2"/>
      <scheme val="minor"/>
    </font>
    <font>
      <b/>
      <sz val="11"/>
      <color rgb="FFF8F8F8"/>
      <name val="Calibri"/>
      <family val="2"/>
      <scheme val="minor"/>
    </font>
    <font>
      <sz val="12"/>
      <color rgb="FF595959"/>
      <name val="Calibri"/>
      <family val="2"/>
      <scheme val="minor"/>
    </font>
    <font>
      <sz val="11"/>
      <color rgb="FFF8F8F8"/>
      <name val="Calibri"/>
      <family val="2"/>
      <scheme val="minor"/>
    </font>
    <font>
      <sz val="12"/>
      <color rgb="FF8B9498"/>
      <name val="Consolas"/>
      <family val="3"/>
    </font>
    <font>
      <b/>
      <sz val="12"/>
      <color rgb="FF142E20"/>
      <name val="Consolas"/>
      <family val="3"/>
    </font>
    <font>
      <b/>
      <sz val="12"/>
      <color rgb="FF5AE764"/>
      <name val="Consolas"/>
      <family val="3"/>
    </font>
    <font>
      <sz val="12"/>
      <color rgb="FF0A84FF"/>
      <name val="Consolas"/>
      <family val="3"/>
    </font>
    <font>
      <sz val="12"/>
      <color rgb="FF32D74B"/>
      <name val="Consolas"/>
      <family val="3"/>
    </font>
    <font>
      <sz val="12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</font>
    <font>
      <sz val="10"/>
      <color rgb="FFF8F8F8"/>
      <name val="Calibri"/>
      <family val="2"/>
    </font>
    <font>
      <sz val="12"/>
      <color rgb="FFF8F8F8"/>
      <name val="Calibri"/>
      <family val="2"/>
    </font>
    <font>
      <u/>
      <sz val="11"/>
      <color theme="10"/>
      <name val="Calibri"/>
      <family val="2"/>
      <scheme val="minor"/>
    </font>
    <font>
      <u/>
      <sz val="12"/>
      <color rgb="FFF8F8F8"/>
      <name val="Calibri"/>
      <family val="2"/>
    </font>
    <font>
      <u/>
      <sz val="11"/>
      <color rgb="FF708FEA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708FEA"/>
        <bgColor rgb="FF708FEA"/>
      </patternFill>
    </fill>
    <fill>
      <patternFill patternType="solid">
        <fgColor rgb="FF121212"/>
        <bgColor rgb="FF121212"/>
      </patternFill>
    </fill>
    <fill>
      <patternFill patternType="solid">
        <fgColor rgb="FF15202F"/>
        <bgColor rgb="FF15202F"/>
      </patternFill>
    </fill>
    <fill>
      <patternFill patternType="solid">
        <fgColor rgb="FF404040"/>
        <bgColor rgb="FF404040"/>
      </patternFill>
    </fill>
    <fill>
      <patternFill patternType="solid">
        <fgColor rgb="FF0D1117"/>
        <bgColor rgb="FF0D1117"/>
      </patternFill>
    </fill>
    <fill>
      <patternFill patternType="solid">
        <fgColor rgb="FF262626"/>
        <bgColor rgb="FF262626"/>
      </patternFill>
    </fill>
    <fill>
      <patternFill patternType="solid">
        <fgColor rgb="FF5AE764"/>
        <bgColor rgb="FF5AE764"/>
      </patternFill>
    </fill>
    <fill>
      <patternFill patternType="solid">
        <fgColor rgb="FF142E20"/>
        <bgColor rgb="FF142E20"/>
      </patternFill>
    </fill>
    <fill>
      <patternFill patternType="solid">
        <fgColor rgb="FF12121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453A"/>
        <bgColor indexed="64"/>
      </patternFill>
    </fill>
  </fills>
  <borders count="1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B9498"/>
      </left>
      <right style="thin">
        <color rgb="FF8B9498"/>
      </right>
      <top style="thin">
        <color rgb="FF8B9498"/>
      </top>
      <bottom style="thin">
        <color rgb="FF8B9498"/>
      </bottom>
      <diagonal/>
    </border>
    <border>
      <left style="thin">
        <color rgb="FF404040"/>
      </left>
      <right style="thin">
        <color rgb="FF404040"/>
      </right>
      <top style="thin">
        <color rgb="FF404040"/>
      </top>
      <bottom style="thin">
        <color rgb="FF404040"/>
      </bottom>
      <diagonal/>
    </border>
    <border>
      <left style="thin">
        <color rgb="FF404040"/>
      </left>
      <right/>
      <top style="thin">
        <color rgb="FF404040"/>
      </top>
      <bottom style="thin">
        <color rgb="FF404040"/>
      </bottom>
      <diagonal/>
    </border>
    <border>
      <left style="thin">
        <color rgb="FF8B9498"/>
      </left>
      <right style="thin">
        <color rgb="FF8B9498"/>
      </right>
      <top style="thin">
        <color rgb="FF8B9498"/>
      </top>
      <bottom/>
      <diagonal/>
    </border>
    <border>
      <left style="thin">
        <color rgb="FF404040"/>
      </left>
      <right style="thin">
        <color rgb="FF404040"/>
      </right>
      <top style="thin">
        <color rgb="FF404040"/>
      </top>
      <bottom style="thin">
        <color rgb="FF3A3838"/>
      </bottom>
      <diagonal/>
    </border>
    <border>
      <left style="thin">
        <color rgb="FF8B9498"/>
      </left>
      <right style="thin">
        <color rgb="FF8B9498"/>
      </right>
      <top/>
      <bottom/>
      <diagonal/>
    </border>
    <border>
      <left style="thin">
        <color rgb="FF3A3838"/>
      </left>
      <right style="thin">
        <color rgb="FF3A3838"/>
      </right>
      <top style="thin">
        <color rgb="FF3A3838"/>
      </top>
      <bottom style="thin">
        <color rgb="FF3A3838"/>
      </bottom>
      <diagonal/>
    </border>
    <border>
      <left style="thin">
        <color rgb="FF404040"/>
      </left>
      <right style="thin">
        <color rgb="FF404040"/>
      </right>
      <top style="thin">
        <color rgb="FF404040"/>
      </top>
      <bottom/>
      <diagonal/>
    </border>
    <border>
      <left style="thin">
        <color rgb="FF3A3838"/>
      </left>
      <right style="thin">
        <color rgb="FF3A3838"/>
      </right>
      <top style="thin">
        <color rgb="FF3A3838"/>
      </top>
      <bottom/>
      <diagonal/>
    </border>
    <border>
      <left/>
      <right style="thin">
        <color rgb="FF404040"/>
      </right>
      <top style="thin">
        <color rgb="FF404040"/>
      </top>
      <bottom style="thin">
        <color rgb="FF404040"/>
      </bottom>
      <diagonal/>
    </border>
    <border>
      <left style="thin">
        <color rgb="FF8B9498"/>
      </left>
      <right style="thin">
        <color rgb="FF8B9498"/>
      </right>
      <top/>
      <bottom style="thin">
        <color rgb="FF8B9498"/>
      </bottom>
      <diagonal/>
    </border>
    <border>
      <left style="thin">
        <color rgb="FF3A3838"/>
      </left>
      <right/>
      <top style="thin">
        <color rgb="FF3A3838"/>
      </top>
      <bottom style="thin">
        <color rgb="FF3A3838"/>
      </bottom>
      <diagonal/>
    </border>
    <border>
      <left/>
      <right/>
      <top style="thin">
        <color rgb="FF3A3838"/>
      </top>
      <bottom style="thin">
        <color rgb="FF3A3838"/>
      </bottom>
      <diagonal/>
    </border>
    <border>
      <left/>
      <right style="thin">
        <color rgb="FF3A3838"/>
      </right>
      <top style="thin">
        <color rgb="FF3A3838"/>
      </top>
      <bottom style="thin">
        <color rgb="FF3A3838"/>
      </bottom>
      <diagonal/>
    </border>
    <border>
      <left style="thin">
        <color rgb="FF404040"/>
      </left>
      <right/>
      <top style="thin">
        <color rgb="FF3A3838"/>
      </top>
      <bottom style="thin">
        <color rgb="FF3A3838"/>
      </bottom>
      <diagonal/>
    </border>
    <border>
      <left/>
      <right/>
      <top style="thin">
        <color rgb="FFFF0000"/>
      </top>
      <bottom/>
      <diagonal/>
    </border>
  </borders>
  <cellStyleXfs count="23">
    <xf numFmtId="0" fontId="0" fillId="0" borderId="0"/>
    <xf numFmtId="0" fontId="13" fillId="8" borderId="0" applyNumberFormat="0" applyBorder="0" applyProtection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1" fillId="4" borderId="0" applyNumberFormat="0" applyFon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4" fontId="1" fillId="0" borderId="0" applyFont="0" applyBorder="0" applyProtection="0"/>
    <xf numFmtId="0" fontId="6" fillId="0" borderId="0" applyNumberFormat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4" fillId="0" borderId="0" applyNumberFormat="0" applyBorder="0" applyProtection="0">
      <alignment vertical="top"/>
    </xf>
    <xf numFmtId="0" fontId="15" fillId="8" borderId="1" applyNumberFormat="0" applyProtection="0"/>
    <xf numFmtId="0" fontId="16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  <xf numFmtId="0" fontId="37" fillId="0" borderId="0" applyNumberFormat="0" applyFill="0" applyBorder="0" applyAlignment="0" applyProtection="0"/>
  </cellStyleXfs>
  <cellXfs count="49">
    <xf numFmtId="0" fontId="0" fillId="0" borderId="0" xfId="0"/>
    <xf numFmtId="0" fontId="17" fillId="9" borderId="0" xfId="0" applyFont="1" applyFill="1" applyAlignment="1">
      <alignment vertical="center"/>
    </xf>
    <xf numFmtId="0" fontId="18" fillId="9" borderId="0" xfId="0" applyFont="1" applyFill="1" applyAlignment="1">
      <alignment vertical="center" wrapText="1"/>
    </xf>
    <xf numFmtId="0" fontId="19" fillId="10" borderId="0" xfId="0" applyFont="1" applyFill="1" applyAlignment="1">
      <alignment vertical="top"/>
    </xf>
    <xf numFmtId="0" fontId="20" fillId="10" borderId="0" xfId="0" applyFont="1" applyFill="1" applyAlignment="1">
      <alignment vertical="center" wrapText="1"/>
    </xf>
    <xf numFmtId="0" fontId="21" fillId="17" borderId="0" xfId="0" applyFont="1" applyFill="1"/>
    <xf numFmtId="0" fontId="19" fillId="11" borderId="2" xfId="0" applyFont="1" applyFill="1" applyBorder="1" applyAlignment="1">
      <alignment horizontal="center" vertical="center"/>
    </xf>
    <xf numFmtId="0" fontId="22" fillId="10" borderId="0" xfId="0" applyFont="1" applyFill="1" applyAlignment="1">
      <alignment vertical="center"/>
    </xf>
    <xf numFmtId="0" fontId="23" fillId="14" borderId="3" xfId="0" applyFont="1" applyFill="1" applyBorder="1" applyAlignment="1">
      <alignment horizontal="center" vertical="center" wrapText="1"/>
    </xf>
    <xf numFmtId="0" fontId="23" fillId="14" borderId="6" xfId="0" applyFont="1" applyFill="1" applyBorder="1" applyAlignment="1">
      <alignment horizontal="center" vertical="center" wrapText="1"/>
    </xf>
    <xf numFmtId="0" fontId="24" fillId="10" borderId="8" xfId="0" applyFont="1" applyFill="1" applyBorder="1" applyAlignment="1">
      <alignment horizontal="center" vertical="center" wrapText="1"/>
    </xf>
    <xf numFmtId="0" fontId="23" fillId="14" borderId="3" xfId="0" applyFont="1" applyFill="1" applyBorder="1" applyAlignment="1">
      <alignment horizontal="right" vertical="center" wrapText="1"/>
    </xf>
    <xf numFmtId="0" fontId="23" fillId="14" borderId="9" xfId="0" applyFont="1" applyFill="1" applyBorder="1" applyAlignment="1">
      <alignment horizontal="right" vertical="center" wrapText="1"/>
    </xf>
    <xf numFmtId="0" fontId="23" fillId="14" borderId="11" xfId="0" applyFont="1" applyFill="1" applyBorder="1" applyAlignment="1">
      <alignment horizontal="right" vertical="center" wrapText="1"/>
    </xf>
    <xf numFmtId="0" fontId="23" fillId="11" borderId="2" xfId="0" applyFont="1" applyFill="1" applyBorder="1" applyAlignment="1">
      <alignment horizontal="center" vertical="center"/>
    </xf>
    <xf numFmtId="0" fontId="26" fillId="13" borderId="5" xfId="0" applyFont="1" applyFill="1" applyBorder="1" applyAlignment="1">
      <alignment vertical="center"/>
    </xf>
    <xf numFmtId="0" fontId="26" fillId="13" borderId="7" xfId="0" applyFont="1" applyFill="1" applyBorder="1" applyAlignment="1">
      <alignment vertical="center"/>
    </xf>
    <xf numFmtId="0" fontId="26" fillId="13" borderId="7" xfId="0" applyFont="1" applyFill="1" applyBorder="1" applyAlignment="1">
      <alignment horizontal="left" vertical="center" indent="1"/>
    </xf>
    <xf numFmtId="0" fontId="26" fillId="13" borderId="7" xfId="0" applyFont="1" applyFill="1" applyBorder="1" applyAlignment="1">
      <alignment horizontal="left" vertical="center" indent="3"/>
    </xf>
    <xf numFmtId="0" fontId="26" fillId="13" borderId="7" xfId="0" applyFont="1" applyFill="1" applyBorder="1" applyAlignment="1">
      <alignment horizontal="left" vertical="center" indent="4"/>
    </xf>
    <xf numFmtId="0" fontId="26" fillId="13" borderId="12" xfId="0" applyFont="1" applyFill="1" applyBorder="1" applyAlignment="1">
      <alignment vertical="center"/>
    </xf>
    <xf numFmtId="0" fontId="27" fillId="15" borderId="8" xfId="0" applyFont="1" applyFill="1" applyBorder="1" applyAlignment="1">
      <alignment horizontal="center" vertical="center" wrapText="1"/>
    </xf>
    <xf numFmtId="0" fontId="28" fillId="16" borderId="8" xfId="0" applyFont="1" applyFill="1" applyBorder="1" applyAlignment="1">
      <alignment horizontal="center" vertical="center" wrapText="1"/>
    </xf>
    <xf numFmtId="2" fontId="28" fillId="16" borderId="8" xfId="0" applyNumberFormat="1" applyFont="1" applyFill="1" applyBorder="1" applyAlignment="1">
      <alignment horizontal="center" vertical="center" wrapText="1"/>
    </xf>
    <xf numFmtId="2" fontId="28" fillId="16" borderId="10" xfId="0" applyNumberFormat="1" applyFont="1" applyFill="1" applyBorder="1" applyAlignment="1">
      <alignment horizontal="center" vertical="center" wrapText="1"/>
    </xf>
    <xf numFmtId="0" fontId="29" fillId="10" borderId="8" xfId="0" applyFont="1" applyFill="1" applyBorder="1" applyAlignment="1">
      <alignment horizontal="center" vertical="center" wrapText="1"/>
    </xf>
    <xf numFmtId="0" fontId="30" fillId="10" borderId="8" xfId="0" applyFont="1" applyFill="1" applyBorder="1" applyAlignment="1">
      <alignment horizontal="center" vertical="center" wrapText="1"/>
    </xf>
    <xf numFmtId="0" fontId="31" fillId="2" borderId="0" xfId="0" applyFont="1" applyFill="1" applyAlignment="1">
      <alignment vertical="center" wrapText="1"/>
    </xf>
    <xf numFmtId="0" fontId="33" fillId="2" borderId="0" xfId="0" applyFont="1" applyFill="1"/>
    <xf numFmtId="0" fontId="33" fillId="18" borderId="0" xfId="0" applyFont="1" applyFill="1"/>
    <xf numFmtId="14" fontId="0" fillId="0" borderId="0" xfId="0" applyNumberFormat="1"/>
    <xf numFmtId="0" fontId="28" fillId="16" borderId="16" xfId="0" applyFont="1" applyFill="1" applyBorder="1" applyAlignment="1">
      <alignment horizontal="centerContinuous" vertical="center" wrapText="1"/>
    </xf>
    <xf numFmtId="0" fontId="28" fillId="16" borderId="14" xfId="0" applyFont="1" applyFill="1" applyBorder="1" applyAlignment="1">
      <alignment horizontal="centerContinuous" vertical="center" wrapText="1"/>
    </xf>
    <xf numFmtId="0" fontId="28" fillId="16" borderId="15" xfId="0" applyFont="1" applyFill="1" applyBorder="1" applyAlignment="1">
      <alignment horizontal="centerContinuous" vertical="center" wrapText="1"/>
    </xf>
    <xf numFmtId="0" fontId="28" fillId="16" borderId="13" xfId="0" applyFont="1" applyFill="1" applyBorder="1" applyAlignment="1">
      <alignment horizontal="centerContinuous" vertical="center" wrapText="1"/>
    </xf>
    <xf numFmtId="0" fontId="20" fillId="18" borderId="0" xfId="0" applyFont="1" applyFill="1" applyAlignment="1">
      <alignment vertical="center" wrapText="1"/>
    </xf>
    <xf numFmtId="0" fontId="22" fillId="18" borderId="0" xfId="0" applyFont="1" applyFill="1" applyAlignment="1">
      <alignment vertical="center" wrapText="1"/>
    </xf>
    <xf numFmtId="0" fontId="22" fillId="18" borderId="0" xfId="0" applyFont="1" applyFill="1" applyAlignment="1">
      <alignment horizontal="centerContinuous" vertical="center" wrapText="1"/>
    </xf>
    <xf numFmtId="0" fontId="35" fillId="18" borderId="0" xfId="0" applyFont="1" applyFill="1" applyAlignment="1">
      <alignment vertical="center" wrapText="1"/>
    </xf>
    <xf numFmtId="0" fontId="36" fillId="18" borderId="0" xfId="0" applyFont="1" applyFill="1" applyAlignment="1">
      <alignment vertical="center" wrapText="1"/>
    </xf>
    <xf numFmtId="0" fontId="36" fillId="18" borderId="0" xfId="0" applyFont="1" applyFill="1" applyAlignment="1">
      <alignment horizontal="centerContinuous" vertical="center" wrapText="1"/>
    </xf>
    <xf numFmtId="0" fontId="38" fillId="18" borderId="0" xfId="22" quotePrefix="1" applyFont="1" applyFill="1" applyAlignment="1">
      <alignment horizontal="centerContinuous" vertical="center" wrapText="1"/>
    </xf>
    <xf numFmtId="0" fontId="38" fillId="18" borderId="0" xfId="22" applyFont="1" applyFill="1" applyAlignment="1">
      <alignment horizontal="centerContinuous" vertical="center" wrapText="1"/>
    </xf>
    <xf numFmtId="0" fontId="25" fillId="10" borderId="5" xfId="0" applyFont="1" applyFill="1" applyBorder="1" applyAlignment="1">
      <alignment horizontal="center" vertical="center" wrapText="1"/>
    </xf>
    <xf numFmtId="0" fontId="39" fillId="10" borderId="12" xfId="22" applyFont="1" applyFill="1" applyBorder="1" applyAlignment="1">
      <alignment horizontal="center" vertical="center" wrapText="1"/>
    </xf>
    <xf numFmtId="0" fontId="20" fillId="19" borderId="17" xfId="0" applyFont="1" applyFill="1" applyBorder="1" applyAlignment="1">
      <alignment horizontal="centerContinuous" vertical="center" wrapText="1"/>
    </xf>
    <xf numFmtId="0" fontId="22" fillId="19" borderId="17" xfId="0" applyFont="1" applyFill="1" applyBorder="1" applyAlignment="1">
      <alignment horizontal="centerContinuous" vertical="center" wrapText="1"/>
    </xf>
    <xf numFmtId="0" fontId="19" fillId="12" borderId="3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</cellXfs>
  <cellStyles count="23">
    <cellStyle name="Accent" xfId="2" xr:uid="{00000000-0005-0000-0000-000000000000}"/>
    <cellStyle name="Accent 1" xfId="3" xr:uid="{00000000-0005-0000-0000-000001000000}"/>
    <cellStyle name="Accent 2" xfId="4" xr:uid="{00000000-0005-0000-0000-000002000000}"/>
    <cellStyle name="Accent 3" xfId="5" xr:uid="{00000000-0005-0000-0000-000003000000}"/>
    <cellStyle name="Bad" xfId="6" xr:uid="{00000000-0005-0000-0000-000004000000}"/>
    <cellStyle name="Error" xfId="7" xr:uid="{00000000-0005-0000-0000-000005000000}"/>
    <cellStyle name="Excel Built-in Comma" xfId="8" xr:uid="{00000000-0005-0000-0000-000006000000}"/>
    <cellStyle name="Excel_BuiltIn_Hyperlink" xfId="9" xr:uid="{00000000-0005-0000-0000-000007000000}"/>
    <cellStyle name="Footnote" xfId="10" xr:uid="{00000000-0005-0000-0000-000008000000}"/>
    <cellStyle name="Good" xfId="11" xr:uid="{00000000-0005-0000-0000-000009000000}"/>
    <cellStyle name="Heading" xfId="12" xr:uid="{00000000-0005-0000-0000-00000A000000}"/>
    <cellStyle name="Heading 1" xfId="13" xr:uid="{00000000-0005-0000-0000-00000B000000}"/>
    <cellStyle name="Heading 2" xfId="14" xr:uid="{00000000-0005-0000-0000-00000C000000}"/>
    <cellStyle name="Hipervínculo" xfId="22" builtinId="8"/>
    <cellStyle name="Hyperlink" xfId="15" xr:uid="{00000000-0005-0000-0000-00000D000000}"/>
    <cellStyle name="Neutral" xfId="1" builtinId="28" customBuiltin="1"/>
    <cellStyle name="Normal" xfId="0" builtinId="0" customBuiltin="1"/>
    <cellStyle name="Normal 2" xfId="16" xr:uid="{00000000-0005-0000-0000-000010000000}"/>
    <cellStyle name="Note" xfId="17" xr:uid="{00000000-0005-0000-0000-000011000000}"/>
    <cellStyle name="Result" xfId="18" xr:uid="{00000000-0005-0000-0000-000012000000}"/>
    <cellStyle name="Status" xfId="19" xr:uid="{00000000-0005-0000-0000-000013000000}"/>
    <cellStyle name="Text" xfId="20" xr:uid="{00000000-0005-0000-0000-000014000000}"/>
    <cellStyle name="Warning" xfId="21" xr:uid="{00000000-0005-0000-0000-000015000000}"/>
  </cellStyles>
  <dxfs count="0"/>
  <tableStyles count="0" defaultTableStyle="TableStyleMedium2" defaultPivotStyle="PivotStyleLight16"/>
  <colors>
    <mruColors>
      <color rgb="FFF8F8F8"/>
      <color rgb="FFFF453A"/>
      <color rgb="FF708FEA"/>
      <color rgb="FF000000"/>
      <color rgb="FF12121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276799</xdr:colOff>
      <xdr:row>7</xdr:row>
      <xdr:rowOff>341309</xdr:rowOff>
    </xdr:from>
    <xdr:to>
      <xdr:col>8</xdr:col>
      <xdr:colOff>411345</xdr:colOff>
      <xdr:row>9</xdr:row>
      <xdr:rowOff>38041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07CE759-3640-4EE9-BEAA-0CB955EC6AE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01299" y="3008309"/>
          <a:ext cx="896546" cy="458732"/>
        </a:xfrm>
        <a:prstGeom prst="rect">
          <a:avLst/>
        </a:prstGeom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125E0F6-2834-498D-B646-32065626B18D}">
  <we:reference id="wa200003696" version="1.1.0.0" store="es-ES" storeType="OMEX"/>
  <we:alternateReferences>
    <we:reference id="wa200003696" version="1.1.0.0" store="WA200003696" storeType="OMEX"/>
  </we:alternateReferences>
  <we:properties>
    <we:property name="projectV0_1-56c6e055-265e-4713-816e-a646dbb708de" value="{&quot;kind&quot;:&quot;AFEJSONBlobNode&quot;,&quot;id&quot;:&quot;{94BD6737-3ABF-4A75-BB79-C23862D1AFBC}&quot;}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eepass.info/help/base/keys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"/>
  <sheetViews>
    <sheetView tabSelected="1" workbookViewId="0">
      <selection activeCell="B2" sqref="B2"/>
    </sheetView>
  </sheetViews>
  <sheetFormatPr baseColWidth="10" defaultRowHeight="30" customHeight="1" outlineLevelCol="1" x14ac:dyDescent="0.25"/>
  <cols>
    <col min="1" max="1" width="75.5703125" style="4" customWidth="1"/>
    <col min="2" max="2" width="7.140625" style="4" customWidth="1"/>
    <col min="3" max="12" width="15.140625" style="4" customWidth="1" outlineLevel="1"/>
    <col min="13" max="13" width="7.140625" style="4" customWidth="1"/>
    <col min="14" max="14" width="6" style="4" customWidth="1" outlineLevel="1"/>
    <col min="15" max="15" width="15.140625" style="4" customWidth="1" outlineLevel="1"/>
    <col min="16" max="16" width="6" style="4" customWidth="1" outlineLevel="1"/>
    <col min="17" max="17" width="15.140625" style="4" customWidth="1" outlineLevel="1"/>
    <col min="18" max="26" width="12.140625" style="4" customWidth="1"/>
    <col min="27" max="16384" width="11.42578125" style="5"/>
  </cols>
  <sheetData>
    <row r="1" spans="1:17" s="2" customFormat="1" ht="30" customHeight="1" x14ac:dyDescent="0.25">
      <c r="A1" s="1" t="s">
        <v>0</v>
      </c>
    </row>
    <row r="2" spans="1:17" ht="30" customHeight="1" x14ac:dyDescent="0.25">
      <c r="A2" s="3" t="s">
        <v>1</v>
      </c>
    </row>
    <row r="3" spans="1:17" ht="30" customHeight="1" x14ac:dyDescent="0.25">
      <c r="A3" s="3"/>
    </row>
    <row r="4" spans="1:17" ht="30" customHeight="1" x14ac:dyDescent="0.25">
      <c r="A4" s="6" t="s">
        <v>2</v>
      </c>
      <c r="C4" s="47" t="s">
        <v>3</v>
      </c>
      <c r="D4" s="47"/>
      <c r="E4" s="47"/>
      <c r="F4" s="47"/>
      <c r="G4" s="47"/>
      <c r="H4" s="47"/>
      <c r="I4" s="47"/>
      <c r="J4" s="47"/>
      <c r="K4" s="47"/>
      <c r="L4" s="47"/>
      <c r="N4" s="48" t="s">
        <v>4</v>
      </c>
      <c r="O4" s="48"/>
      <c r="P4" s="48"/>
      <c r="Q4" s="48"/>
    </row>
    <row r="5" spans="1:17" ht="30" customHeight="1" x14ac:dyDescent="0.25">
      <c r="A5" s="15" t="str" cm="1">
        <f t="array" aca="1" ref="A5:A16" ca="1">_xlfn.LET(
    _xlpm.q, """",
    _xlpm.Rango,_xlfn.ANCHORARRAY( D6),
    _xlpm.Hash, INDEX(_xlpm.Rango, 1),
    _xlpm.MyRow1, "            " &amp; _xlfn.TEXTJOIN(" ", 1, INDEX(_xlpm.Rango, 2), INDEX(_xlpm.Rango, 3), INDEX(_xlpm.Rango, 4), INDEX(_xlpm.Rango, 5)),
    _xlpm.MyRow2, "            " &amp; _xlfn.TEXTJOIN(" ", 1, INDEX(_xlpm.Rango, 6), INDEX(_xlpm.Rango, 7), INDEX(_xlpm.Rango, 8), INDEX(_xlpm.Rango, 9)),
    _xlfn.VSTACK(
        "&lt;?xml version=" &amp; _xlpm.q &amp; "1.0" &amp; _xlpm.q &amp; " encoding=" &amp; _xlpm.q &amp; "UTF-8" &amp; _xlpm.q &amp; "?&gt;",
        "&lt;KeyFile&gt;",
        "    &lt;Meta&gt;",
        "        &lt;Version&gt;2.0&lt;/Version&gt;",
        "    &lt;/Meta&gt;",
        "    &lt;Key&gt;",
        "        &lt;Data Hash=" &amp; _xlpm.q &amp; _xlpm.Hash &amp; _xlpm.q &amp; "&gt;",
        _xlpm.MyRow1,
        _xlpm.MyRow2,
        "        &lt;/Data&gt;",
        "    &lt;/Key&gt;",
        "&lt;/KeyFile&gt;"
    )
)</f>
        <v>&lt;?xml version="1.0" encoding="UTF-8"?&gt;</v>
      </c>
      <c r="B5" s="7"/>
      <c r="D5" s="8" t="s">
        <v>5</v>
      </c>
      <c r="E5" s="9" t="s">
        <v>20</v>
      </c>
      <c r="F5" s="9" t="s">
        <v>21</v>
      </c>
      <c r="G5" s="9" t="s">
        <v>22</v>
      </c>
      <c r="H5" s="9" t="s">
        <v>23</v>
      </c>
      <c r="I5" s="9" t="s">
        <v>24</v>
      </c>
      <c r="J5" s="9" t="s">
        <v>25</v>
      </c>
      <c r="K5" s="9" t="s">
        <v>26</v>
      </c>
      <c r="L5" s="9" t="s">
        <v>27</v>
      </c>
      <c r="N5" s="8"/>
      <c r="O5" s="8" t="s">
        <v>6</v>
      </c>
      <c r="P5" s="8"/>
      <c r="Q5" s="8" t="s">
        <v>7</v>
      </c>
    </row>
    <row r="6" spans="1:17" ht="30" customHeight="1" x14ac:dyDescent="0.25">
      <c r="A6" s="16" t="str">
        <f ca="1"/>
        <v>&lt;KeyFile&gt;</v>
      </c>
      <c r="B6" s="7"/>
      <c r="D6" s="21" t="str" cm="1">
        <f t="array" aca="1" ref="D6:L6" ca="1">_xlfn.LET(
    _xlpm.Pool, _xlfn.CONCAT(NUMEROS_HEX, LETRAS_HEX),
    _xlpm.Length, LEN(_xlpm.Pool),
    _xlfn.MAP(_xlfn.SEQUENCE(1, 9), _xlfn.LAMBDA(_xlpm.col,
        _xlfn.CONCAT(_xlfn.MAP(_xlfn.SEQUENCE(8), _xlfn.LAMBDA(_xlpm.lin, MID(_xlpm.Pool, RANDBETWEEN(1, _xlpm.Length), 1))))
    ))
)</f>
        <v>5657578A</v>
      </c>
      <c r="E6" s="22" t="str">
        <f ca="1"/>
        <v>B283A87D</v>
      </c>
      <c r="F6" s="22" t="str">
        <f ca="1"/>
        <v>1F33107C</v>
      </c>
      <c r="G6" s="22" t="str">
        <f ca="1"/>
        <v>F01D250F</v>
      </c>
      <c r="H6" s="22" t="str">
        <f ca="1"/>
        <v>656A44E4</v>
      </c>
      <c r="I6" s="22" t="str">
        <f ca="1"/>
        <v>88395467</v>
      </c>
      <c r="J6" s="22" t="str">
        <f ca="1"/>
        <v>BBC09BD8</v>
      </c>
      <c r="K6" s="22" t="str">
        <f ca="1"/>
        <v>DF6FDD49</v>
      </c>
      <c r="L6" s="22" t="str">
        <f ca="1"/>
        <v>B67F1D37</v>
      </c>
      <c r="N6" s="10">
        <v>48</v>
      </c>
      <c r="O6" s="25" t="str">
        <f>IFERROR(
    SUBSTITUTE(
        CHAR(N6),
        " ",
        ""
    ),
    ""
)</f>
        <v>0</v>
      </c>
      <c r="P6" s="10">
        <v>65</v>
      </c>
      <c r="Q6" s="26" t="str">
        <f t="shared" ref="Q6:Q11" si="0">CHAR(P6)</f>
        <v>A</v>
      </c>
    </row>
    <row r="7" spans="1:17" ht="30" customHeight="1" x14ac:dyDescent="0.25">
      <c r="A7" s="17" t="str">
        <f ca="1"/>
        <v xml:space="preserve">    &lt;Meta&gt;</v>
      </c>
      <c r="B7" s="7"/>
      <c r="C7" s="11" t="s">
        <v>8</v>
      </c>
      <c r="D7" s="22" cm="1">
        <f t="array" aca="1" ref="D7:L7" ca="1">LEN(D6:L6)</f>
        <v>8</v>
      </c>
      <c r="E7" s="22">
        <f ca="1"/>
        <v>8</v>
      </c>
      <c r="F7" s="22">
        <f ca="1"/>
        <v>8</v>
      </c>
      <c r="G7" s="22">
        <f ca="1"/>
        <v>8</v>
      </c>
      <c r="H7" s="22">
        <f ca="1"/>
        <v>8</v>
      </c>
      <c r="I7" s="22">
        <f ca="1"/>
        <v>8</v>
      </c>
      <c r="J7" s="22">
        <f ca="1"/>
        <v>8</v>
      </c>
      <c r="K7" s="22">
        <f ca="1"/>
        <v>8</v>
      </c>
      <c r="L7" s="22">
        <f ca="1"/>
        <v>8</v>
      </c>
      <c r="N7" s="10">
        <v>49</v>
      </c>
      <c r="O7" s="25" t="str">
        <f t="shared" ref="O7:O15" si="1">IFERROR(
    SUBSTITUTE(
        CHAR(N7),
        " ",
        ""
    ),
    ""
)</f>
        <v>1</v>
      </c>
      <c r="P7" s="10">
        <v>66</v>
      </c>
      <c r="Q7" s="26" t="str">
        <f t="shared" si="0"/>
        <v>B</v>
      </c>
    </row>
    <row r="8" spans="1:17" ht="30" customHeight="1" x14ac:dyDescent="0.25">
      <c r="A8" s="18" t="str">
        <f ca="1"/>
        <v xml:space="preserve">        &lt;Version&gt;2.0&lt;/Version&gt;</v>
      </c>
      <c r="B8" s="7"/>
      <c r="C8" s="11" t="s">
        <v>33</v>
      </c>
      <c r="D8" s="23" cm="1">
        <f t="array" aca="1" ref="D8:L8" ca="1">IFERROR(ROUND((D7:L7*LOG(LEN(_xlfn.CONCAT(NUMEROS_HEX,LETRAS_HEX)))),2),"")</f>
        <v>9.6300000000000008</v>
      </c>
      <c r="E8" s="23">
        <f ca="1"/>
        <v>9.6300000000000008</v>
      </c>
      <c r="F8" s="23">
        <f ca="1"/>
        <v>9.6300000000000008</v>
      </c>
      <c r="G8" s="23">
        <f ca="1"/>
        <v>9.6300000000000008</v>
      </c>
      <c r="H8" s="23">
        <f ca="1"/>
        <v>9.6300000000000008</v>
      </c>
      <c r="I8" s="23">
        <f ca="1"/>
        <v>9.6300000000000008</v>
      </c>
      <c r="J8" s="23">
        <f ca="1"/>
        <v>9.6300000000000008</v>
      </c>
      <c r="K8" s="23">
        <f ca="1"/>
        <v>9.6300000000000008</v>
      </c>
      <c r="L8" s="23">
        <f ca="1"/>
        <v>9.6300000000000008</v>
      </c>
      <c r="N8" s="10">
        <v>50</v>
      </c>
      <c r="O8" s="25" t="str">
        <f t="shared" si="1"/>
        <v>2</v>
      </c>
      <c r="P8" s="10">
        <v>67</v>
      </c>
      <c r="Q8" s="26" t="str">
        <f t="shared" si="0"/>
        <v>C</v>
      </c>
    </row>
    <row r="9" spans="1:17" ht="30" customHeight="1" x14ac:dyDescent="0.25">
      <c r="A9" s="17" t="str">
        <f ca="1"/>
        <v xml:space="preserve">    &lt;/Meta&gt;</v>
      </c>
      <c r="B9" s="7"/>
      <c r="C9" s="12" t="s">
        <v>9</v>
      </c>
      <c r="D9" s="24" cm="1">
        <f t="array" aca="1" ref="D9:L9" ca="1">D7:L7*4.9231</f>
        <v>39.384799999999998</v>
      </c>
      <c r="E9" s="23">
        <f ca="1"/>
        <v>39.384799999999998</v>
      </c>
      <c r="F9" s="23">
        <f ca="1"/>
        <v>39.384799999999998</v>
      </c>
      <c r="G9" s="23">
        <f ca="1"/>
        <v>39.384799999999998</v>
      </c>
      <c r="H9" s="23">
        <f ca="1"/>
        <v>39.384799999999998</v>
      </c>
      <c r="I9" s="23">
        <f ca="1"/>
        <v>39.384799999999998</v>
      </c>
      <c r="J9" s="23">
        <f ca="1"/>
        <v>39.384799999999998</v>
      </c>
      <c r="K9" s="23">
        <f ca="1"/>
        <v>39.384799999999998</v>
      </c>
      <c r="L9" s="23">
        <f ca="1"/>
        <v>39.384799999999998</v>
      </c>
      <c r="N9" s="10">
        <v>51</v>
      </c>
      <c r="O9" s="25" t="str">
        <f t="shared" si="1"/>
        <v>3</v>
      </c>
      <c r="P9" s="10">
        <v>68</v>
      </c>
      <c r="Q9" s="26" t="str">
        <f t="shared" si="0"/>
        <v>D</v>
      </c>
    </row>
    <row r="10" spans="1:17" ht="30" customHeight="1" x14ac:dyDescent="0.25">
      <c r="A10" s="17" t="str">
        <f ca="1"/>
        <v xml:space="preserve">    &lt;Key&gt;</v>
      </c>
      <c r="B10" s="7"/>
      <c r="D10" s="13" t="s">
        <v>10</v>
      </c>
      <c r="E10" s="31" t="str">
        <f ca="1">_xlfn.LET(
    _xlpm.Rango,_xlfn.ANCHORARRAY( D6),
    _xlpm.MyRow1, _xlfn.TEXTJOIN(" ", 1, INDEX(_xlpm.Rango, 2), INDEX(_xlpm.Rango, 3), INDEX(_xlpm.Rango, 4), INDEX(_xlpm.Rango, 5)),
    _xlpm.MyRow2, _xlfn.TEXTJOIN(" ", 1, INDEX(_xlpm.Rango, 6), INDEX(_xlpm.Rango, 7), INDEX(_xlpm.Rango, 8), INDEX(_xlpm.Rango, 9)),
    _xlpm.MyRow1 &amp; CHAR(10) &amp; _xlpm.MyRow2
)</f>
        <v>B283A87D 1F33107C F01D250F 656A44E4
88395467 BBC09BD8 DF6FDD49 B67F1D37</v>
      </c>
      <c r="F10" s="32"/>
      <c r="G10" s="32"/>
      <c r="H10" s="32"/>
      <c r="I10" s="32"/>
      <c r="J10" s="32"/>
      <c r="K10" s="32"/>
      <c r="L10" s="33"/>
      <c r="N10" s="10">
        <v>52</v>
      </c>
      <c r="O10" s="25" t="str">
        <f t="shared" si="1"/>
        <v>4</v>
      </c>
      <c r="P10" s="10">
        <v>69</v>
      </c>
      <c r="Q10" s="26" t="str">
        <f t="shared" si="0"/>
        <v>E</v>
      </c>
    </row>
    <row r="11" spans="1:17" ht="30" customHeight="1" x14ac:dyDescent="0.25">
      <c r="A11" s="18" t="str">
        <f ca="1"/>
        <v xml:space="preserve">        &lt;Data Hash="5657578A"&gt;</v>
      </c>
      <c r="B11" s="7"/>
      <c r="D11" s="13" t="s">
        <v>8</v>
      </c>
      <c r="E11" s="34">
        <f ca="1">SUM(E7:L7)</f>
        <v>64</v>
      </c>
      <c r="F11" s="32"/>
      <c r="G11" s="32"/>
      <c r="H11" s="32"/>
      <c r="I11" s="32"/>
      <c r="J11" s="32"/>
      <c r="K11" s="32"/>
      <c r="L11" s="33"/>
      <c r="N11" s="10">
        <v>53</v>
      </c>
      <c r="O11" s="25" t="str">
        <f t="shared" si="1"/>
        <v>5</v>
      </c>
      <c r="P11" s="10">
        <v>70</v>
      </c>
      <c r="Q11" s="26" t="str">
        <f t="shared" si="0"/>
        <v>F</v>
      </c>
    </row>
    <row r="12" spans="1:17" ht="30" customHeight="1" x14ac:dyDescent="0.25">
      <c r="A12" s="19" t="str">
        <f ca="1"/>
        <v xml:space="preserve">            B283A87D 1F33107C F01D250F 656A44E4</v>
      </c>
      <c r="B12" s="7"/>
      <c r="D12" s="13" t="s">
        <v>33</v>
      </c>
      <c r="E12" s="34">
        <f ca="1">IFERROR(
    ROUND(
        E11 * LOG(36, 2),
        2
    ),
    ""
)</f>
        <v>330.88</v>
      </c>
      <c r="F12" s="32"/>
      <c r="G12" s="32"/>
      <c r="H12" s="32"/>
      <c r="I12" s="32"/>
      <c r="J12" s="32"/>
      <c r="K12" s="32"/>
      <c r="L12" s="33"/>
      <c r="N12" s="10">
        <v>54</v>
      </c>
      <c r="O12" s="25" t="str">
        <f t="shared" si="1"/>
        <v>6</v>
      </c>
    </row>
    <row r="13" spans="1:17" ht="30" customHeight="1" x14ac:dyDescent="0.25">
      <c r="A13" s="19" t="str">
        <f ca="1"/>
        <v xml:space="preserve">            88395467 BBC09BD8 DF6FDD49 B67F1D37</v>
      </c>
      <c r="B13" s="7"/>
      <c r="D13" s="13" t="s">
        <v>9</v>
      </c>
      <c r="E13" s="34">
        <f ca="1">E11*4</f>
        <v>256</v>
      </c>
      <c r="F13" s="32"/>
      <c r="G13" s="32"/>
      <c r="H13" s="32"/>
      <c r="I13" s="32"/>
      <c r="J13" s="32"/>
      <c r="K13" s="32"/>
      <c r="L13" s="33"/>
      <c r="N13" s="10">
        <v>55</v>
      </c>
      <c r="O13" s="25" t="str">
        <f t="shared" si="1"/>
        <v>7</v>
      </c>
    </row>
    <row r="14" spans="1:17" ht="30" customHeight="1" x14ac:dyDescent="0.25">
      <c r="A14" s="18" t="str">
        <f ca="1"/>
        <v xml:space="preserve">        &lt;/Data&gt;</v>
      </c>
      <c r="B14" s="7"/>
      <c r="D14" s="46" t="s">
        <v>30</v>
      </c>
      <c r="E14" s="45"/>
      <c r="F14" s="45"/>
      <c r="G14" s="45"/>
      <c r="H14" s="45"/>
      <c r="I14" s="45"/>
      <c r="J14" s="45"/>
      <c r="K14" s="45"/>
      <c r="L14" s="45"/>
      <c r="N14" s="10">
        <v>56</v>
      </c>
      <c r="O14" s="25" t="str">
        <f t="shared" si="1"/>
        <v>8</v>
      </c>
    </row>
    <row r="15" spans="1:17" ht="30" customHeight="1" x14ac:dyDescent="0.25">
      <c r="A15" s="17" t="str">
        <f ca="1"/>
        <v xml:space="preserve">    &lt;/Key&gt;</v>
      </c>
      <c r="B15" s="7"/>
      <c r="N15" s="10">
        <v>57</v>
      </c>
      <c r="O15" s="25" t="str">
        <f t="shared" si="1"/>
        <v>9</v>
      </c>
    </row>
    <row r="16" spans="1:17" ht="30" customHeight="1" x14ac:dyDescent="0.25">
      <c r="A16" s="20" t="str">
        <f ca="1"/>
        <v>&lt;/KeyFile&gt;</v>
      </c>
      <c r="B16" s="7"/>
    </row>
    <row r="17" spans="1:1" ht="30" customHeight="1" x14ac:dyDescent="0.25">
      <c r="A17" s="14" t="s">
        <v>11</v>
      </c>
    </row>
    <row r="18" spans="1:1" ht="30" customHeight="1" x14ac:dyDescent="0.25">
      <c r="A18" s="43" t="s">
        <v>29</v>
      </c>
    </row>
    <row r="19" spans="1:1" ht="30" customHeight="1" x14ac:dyDescent="0.25">
      <c r="A19" s="44" t="s">
        <v>28</v>
      </c>
    </row>
  </sheetData>
  <mergeCells count="2">
    <mergeCell ref="C4:L4"/>
    <mergeCell ref="N4:Q4"/>
  </mergeCells>
  <phoneticPr fontId="34" type="noConversion"/>
  <hyperlinks>
    <hyperlink ref="A19" r:id="rId1" location="keyfiles:~:text=XML%20%28recommended%2C%20default%29%2E" xr:uid="{A6B05813-598A-4A8A-B64B-571FC74198B4}"/>
  </hyperlinks>
  <pageMargins left="0" right="0" top="0.39370078740157505" bottom="0.39370078740157505" header="0" footer="0"/>
  <pageSetup orientation="portrait" r:id="rId2"/>
  <headerFooter>
    <oddHeader>&amp;C&amp;A</oddHeader>
    <oddFooter>&amp;CPágina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"/>
  <sheetViews>
    <sheetView workbookViewId="0">
      <selection activeCell="B5" sqref="B5"/>
    </sheetView>
  </sheetViews>
  <sheetFormatPr baseColWidth="10" defaultRowHeight="29.85" customHeight="1" x14ac:dyDescent="0.25"/>
  <cols>
    <col min="1" max="13" width="11.42578125" style="28" customWidth="1"/>
    <col min="14" max="15" width="11.42578125" style="29" customWidth="1"/>
    <col min="16" max="16384" width="11.42578125" style="29"/>
  </cols>
  <sheetData>
    <row r="1" spans="1:15" ht="29.85" customHeight="1" x14ac:dyDescent="0.25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5" s="38" customFormat="1" ht="30" customHeight="1" x14ac:dyDescent="0.25">
      <c r="B2" s="40" t="s">
        <v>17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s="38" customFormat="1" ht="30" customHeight="1" x14ac:dyDescent="0.25">
      <c r="B3" s="40" t="s">
        <v>18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</row>
    <row r="4" spans="1:15" s="38" customFormat="1" ht="30" customHeight="1" x14ac:dyDescent="0.25">
      <c r="B4" s="40" t="s">
        <v>12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</row>
    <row r="5" spans="1:15" s="38" customFormat="1" ht="30" customHeight="1" x14ac:dyDescent="0.25">
      <c r="B5" s="40" t="s">
        <v>31</v>
      </c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</row>
    <row r="6" spans="1:15" ht="29.85" customHeight="1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</row>
    <row r="7" spans="1:15" ht="29.85" customHeight="1" x14ac:dyDescent="0.25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</row>
    <row r="8" spans="1:15" s="35" customFormat="1" ht="30" customHeight="1" x14ac:dyDescent="0.25">
      <c r="B8" s="36"/>
      <c r="C8" s="36"/>
      <c r="D8" s="36"/>
      <c r="E8" s="36"/>
      <c r="F8" s="36"/>
      <c r="G8" s="37" t="s">
        <v>13</v>
      </c>
      <c r="H8" s="37"/>
      <c r="I8" s="37"/>
      <c r="J8" s="37"/>
      <c r="K8" s="36"/>
      <c r="L8" s="36"/>
      <c r="M8" s="36"/>
      <c r="N8" s="36"/>
      <c r="O8" s="36"/>
    </row>
    <row r="9" spans="1:15" s="35" customFormat="1" ht="30" customHeight="1" x14ac:dyDescent="0.25"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</row>
    <row r="10" spans="1:15" s="38" customFormat="1" ht="30" customHeight="1" x14ac:dyDescent="0.25">
      <c r="B10" s="39"/>
      <c r="C10" s="39"/>
      <c r="D10" s="39"/>
      <c r="E10" s="39"/>
      <c r="F10" s="40" t="s">
        <v>14</v>
      </c>
      <c r="G10" s="40"/>
      <c r="H10" s="41" t="s">
        <v>15</v>
      </c>
      <c r="I10" s="41"/>
      <c r="J10" s="42" t="s">
        <v>19</v>
      </c>
      <c r="K10" s="42"/>
      <c r="L10" s="39"/>
      <c r="M10" s="39"/>
      <c r="N10" s="39"/>
      <c r="O10" s="39"/>
    </row>
    <row r="11" spans="1:15" s="35" customFormat="1" ht="30" customHeight="1" x14ac:dyDescent="0.25"/>
    <row r="12" spans="1:15" s="38" customFormat="1" ht="18.75" customHeight="1" x14ac:dyDescent="0.25">
      <c r="C12" s="39"/>
      <c r="D12" s="39"/>
      <c r="E12" s="39"/>
      <c r="F12" s="39"/>
      <c r="G12" s="40" t="s">
        <v>16</v>
      </c>
      <c r="H12" s="40"/>
      <c r="I12" s="40"/>
      <c r="J12" s="40"/>
      <c r="K12" s="39"/>
      <c r="L12" s="39"/>
      <c r="M12" s="39"/>
    </row>
    <row r="13" spans="1:15" s="38" customFormat="1" ht="18.75" customHeight="1" x14ac:dyDescent="0.25">
      <c r="C13" s="39"/>
      <c r="D13" s="39"/>
      <c r="E13" s="39"/>
      <c r="F13" s="39"/>
      <c r="G13" s="40" t="str">
        <f ca="1">(_xlfn.CONCAT("©2019 - "&amp;YEAR(TODAY())))</f>
        <v>©2019 - 2026</v>
      </c>
      <c r="H13" s="40"/>
      <c r="I13" s="40"/>
      <c r="J13" s="40"/>
      <c r="K13" s="39"/>
      <c r="L13" s="39"/>
      <c r="M13" s="39"/>
    </row>
    <row r="14" spans="1:15" s="35" customFormat="1" ht="18.75" customHeight="1" x14ac:dyDescent="0.25">
      <c r="C14" s="36"/>
      <c r="D14" s="36"/>
      <c r="E14" s="36"/>
      <c r="F14" s="36"/>
      <c r="G14" s="40" t="s">
        <v>32</v>
      </c>
      <c r="H14" s="40"/>
      <c r="I14" s="40"/>
      <c r="J14" s="40"/>
      <c r="K14" s="36"/>
      <c r="L14" s="36"/>
      <c r="M14" s="36"/>
    </row>
    <row r="15" spans="1:15" ht="29.85" customHeight="1" x14ac:dyDescent="0.25">
      <c r="J15" s="27"/>
    </row>
  </sheetData>
  <pageMargins left="0" right="0" top="0.39370078740157505" bottom="0.39370078740157505" header="0" footer="0"/>
  <pageSetup paperSize="0" fitToWidth="0" fitToHeight="0" pageOrder="overThenDown" horizontalDpi="0" verticalDpi="0" copies="0"/>
  <headerFooter>
    <oddHeader>&amp;C&amp;A</oddHeader>
    <oddFooter>&amp;CPágina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RowHeight="15" x14ac:dyDescent="0.25"/>
  <sheetData>
    <row r="1" spans="1:6" x14ac:dyDescent="0.25">
      <c r="A1">
        <f>SUM(,)</f>
        <v>0</v>
      </c>
      <c r="B1" t="e" cm="1" vm="1">
        <f t="array" aca="1" ref="B1" ca="1">{1,2;3,4}</f>
        <v>#VALUE!</v>
      </c>
      <c r="C1">
        <f>LEN("abc")</f>
        <v>3</v>
      </c>
      <c r="D1">
        <f>SUM(1)</f>
        <v>1</v>
      </c>
      <c r="E1">
        <f>1.5</f>
        <v>1.5</v>
      </c>
      <c r="F1" s="30">
        <v>37623</v>
      </c>
    </row>
    <row r="2" spans="1:6" x14ac:dyDescent="0.25">
      <c r="A2" t="str">
        <f>DOLLAR(1,0)</f>
        <v>Bs.S1</v>
      </c>
      <c r="B2" t="str">
        <f>ADDRESS(1,1,2,0)</f>
        <v>F1C[1]</v>
      </c>
      <c r="C2" t="str">
        <f>FIXED(1E+21, 0, FALSE)</f>
        <v>1,000,000,000,000,000,000,000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BCAHMALgBTACIALAAiAGkAcwBDAHUAcgByAGUAbgBjAHkAUwB5AG0AYgBvAGwATABlAGEAZAAiADoAdAByAHUAZQAsACIAaQBzAEMAdQByAHIAZQBuAGMAeQBTAGUAcABCAHkAUwBwAGEAYwBlACIAOgBmAGEAbABzAGUALAAiAHIAbwB3AEwAZQB0AHQAZQByACIAOgAiAEYAIgAsACIAYwBvAGwAdQBtAG4ATABlAHQAdABlAHIAIgA6ACIAQwAiACwAIgByAGMATABlAGYAdABCAHIAYQBjAGsAZQB0ACIAOgAiAFsAIgAsACIAcgBjAFIAaQBnAGgAdABCAHIAYQBjAGsAZQB0ACIAOgAiAF0AIgAsACIAcwB0AGEAdABlAG0AZQBuAHQAUwBlAHAAYQByAGEAdABvAHIAIgA6ACIAOwAiACwAIgBsAG8AYwBhAGwAZQBOAGEAbQBlACIAOgAiAGUAcwAtAGUAcwAiAH0AfQA=</AFEJSONBlob>
</file>

<file path=customXml/itemProps1.xml><?xml version="1.0" encoding="utf-8"?>
<ds:datastoreItem xmlns:ds="http://schemas.openxmlformats.org/officeDocument/2006/customXml" ds:itemID="{94BD6737-3ABF-4A75-BB79-C23862D1AFBC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41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KeePass_KeyFile</vt:lpstr>
      <vt:lpstr>Credits</vt:lpstr>
      <vt:lpstr>LETRAS_HEX</vt:lpstr>
      <vt:lpstr>NUMEROS_HEX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KeePass KeyFile Generator</dc:title>
  <dc:creator>gabeweb</dc:creator>
  <dc:description>A simple way to generate KeePass KeyFiles using LibreOffice Calc.
No codes. Just formulas.</dc:description>
  <cp:lastModifiedBy>Gabe Pérez</cp:lastModifiedBy>
  <cp:revision>16</cp:revision>
  <dcterms:created xsi:type="dcterms:W3CDTF">2021-02-22T11:04:10Z</dcterms:created>
  <dcterms:modified xsi:type="dcterms:W3CDTF">2026-02-19T22:35:18Z</dcterms:modified>
</cp:coreProperties>
</file>